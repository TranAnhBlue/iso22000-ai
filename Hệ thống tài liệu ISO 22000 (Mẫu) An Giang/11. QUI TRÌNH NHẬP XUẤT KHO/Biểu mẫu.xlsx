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Hệ thống tài liệu ISO 22000 (chuẩn) An Giang\12. QUI TRÌNH NHẬP XUẤT KHO\"/>
    </mc:Choice>
  </mc:AlternateContent>
  <xr:revisionPtr revIDLastSave="0" documentId="13_ncr:1_{32FBA3A4-F122-48E6-BEC6-6E78E206FD9B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Phieu nhap" sheetId="4" r:id="rId1"/>
    <sheet name="Phieu xuat" sheetId="5" r:id="rId2"/>
    <sheet name="Thẻ kho" sheetId="6" r:id="rId3"/>
    <sheet name="Tổng hợp NXT" sheetId="7" r:id="rId4"/>
    <sheet name="Báo cáo kiểm kho" sheetId="8" r:id="rId5"/>
  </sheets>
  <externalReferences>
    <externalReference r:id="rId6"/>
    <externalReference r:id="rId7"/>
  </externalReferences>
  <definedNames>
    <definedName name="_Fill" localSheetId="4" hidden="1">#REF!</definedName>
    <definedName name="_Fill" localSheetId="3" hidden="1">#REF!</definedName>
    <definedName name="_Fill" hidden="1">#REF!</definedName>
    <definedName name="_xlnm._FilterDatabase" localSheetId="4" hidden="1">'Báo cáo kiểm kho'!$B$8:$L$57</definedName>
    <definedName name="_xlnm._FilterDatabase" localSheetId="0" hidden="1">'Phieu nhap'!$A$10:$B$18</definedName>
    <definedName name="_xlnm._FilterDatabase" localSheetId="1" hidden="1">'Phieu xuat'!$A$9:$B$17</definedName>
    <definedName name="_xlnm._FilterDatabase" localSheetId="3" hidden="1">'Tổng hợp NXT'!$B$8:$L$57</definedName>
    <definedName name="_Order1" hidden="1">255</definedName>
    <definedName name="_Order2" hidden="1">255</definedName>
    <definedName name="_Sort" localSheetId="4" hidden="1">#REF!</definedName>
    <definedName name="_Sort" localSheetId="3" hidden="1">#REF!</definedName>
    <definedName name="_Sort" hidden="1">#REF!</definedName>
    <definedName name="h" localSheetId="4" hidden="1">{"'Sheet1'!$L$16"}</definedName>
    <definedName name="h" localSheetId="0" hidden="1">{"'Sheet1'!$L$16"}</definedName>
    <definedName name="h" localSheetId="1" hidden="1">{"'Sheet1'!$L$16"}</definedName>
    <definedName name="h" localSheetId="3" hidden="1">{"'Sheet1'!$L$16"}</definedName>
    <definedName name="h" hidden="1">{"'Sheet1'!$L$16"}</definedName>
    <definedName name="HTML_CodePage" hidden="1">950</definedName>
    <definedName name="HTML_Control" localSheetId="4" hidden="1">{"'Sheet1'!$L$16"}</definedName>
    <definedName name="HTML_Control" localSheetId="0" hidden="1">{"'Sheet1'!$L$16"}</definedName>
    <definedName name="HTML_Control" localSheetId="1" hidden="1">{"'Sheet1'!$L$16"}</definedName>
    <definedName name="HTML_Control" localSheetId="3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TK" localSheetId="4">#REF!</definedName>
    <definedName name="HTTK" localSheetId="3">#REF!</definedName>
    <definedName name="HTTK">[1]Sheet1!$A$5:$A$301</definedName>
    <definedName name="huy" localSheetId="4" hidden="1">{"'Sheet1'!$L$16"}</definedName>
    <definedName name="huy" localSheetId="0" hidden="1">{"'Sheet1'!$L$16"}</definedName>
    <definedName name="huy" localSheetId="1" hidden="1">{"'Sheet1'!$L$16"}</definedName>
    <definedName name="huy" localSheetId="3" hidden="1">{"'Sheet1'!$L$16"}</definedName>
    <definedName name="huy" hidden="1">{"'Sheet1'!$L$16"}</definedName>
    <definedName name="MS" localSheetId="4">#REF!</definedName>
    <definedName name="MS" localSheetId="3">#REF!</definedName>
    <definedName name="MS">[1]CDPS!$B$11:$B$219</definedName>
    <definedName name="ngay1" localSheetId="4">[2]ThongtinDN!$D$17</definedName>
    <definedName name="ngay1" localSheetId="3">[2]ThongtinDN!$D$17</definedName>
    <definedName name="ngay1">[1]ThongtinDN!$D$17</definedName>
    <definedName name="ngay2" localSheetId="4">[2]ThongtinDN!$D$18</definedName>
    <definedName name="ngay2" localSheetId="3">[2]ThongtinDN!$D$18</definedName>
    <definedName name="ngay2">[1]ThongtinDN!$D$18</definedName>
    <definedName name="_xlnm.Print_Area" localSheetId="0">'Phieu nhap'!$A$1:$H$20</definedName>
    <definedName name="_xlnm.Print_Area" localSheetId="1">'Phieu xuat'!$A$1:$H$18</definedName>
    <definedName name="PSCKC" localSheetId="4">#REF!</definedName>
    <definedName name="PSCKC" localSheetId="3">#REF!</definedName>
    <definedName name="PSCKC">[1]CDPS!$J$11:$J$219</definedName>
    <definedName name="PSCKN" localSheetId="4">#REF!</definedName>
    <definedName name="PSCKN" localSheetId="3">#REF!</definedName>
    <definedName name="PSCKN">[1]CDPS!$I$11:$I$219</definedName>
    <definedName name="PSDKC" localSheetId="4">#REF!</definedName>
    <definedName name="PSDKC" localSheetId="3">#REF!</definedName>
    <definedName name="PSDKC">[1]CDPS!$F$11:$F$219</definedName>
    <definedName name="PSDKN" localSheetId="4">#REF!</definedName>
    <definedName name="PSDKN" localSheetId="3">#REF!</definedName>
    <definedName name="PSDKN">[1]CDPS!$E$11:$E$219</definedName>
    <definedName name="wrn.chi._.tiÆt." localSheetId="4" hidden="1">{#N/A,#N/A,FALSE,"Chi tiÆt"}</definedName>
    <definedName name="wrn.chi._.tiÆt." localSheetId="0" hidden="1">{#N/A,#N/A,FALSE,"Chi tiÆt"}</definedName>
    <definedName name="wrn.chi._.tiÆt." localSheetId="1" hidden="1">{#N/A,#N/A,FALSE,"Chi tiÆt"}</definedName>
    <definedName name="wrn.chi._.tiÆt." localSheetId="3" hidden="1">{#N/A,#N/A,FALSE,"Chi tiÆt"}</definedName>
    <definedName name="wrn.chi._.tiÆt." hidden="1">{#N/A,#N/A,FALSE,"Chi tiÆt"}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8" l="1"/>
  <c r="L23" i="7"/>
  <c r="H14" i="5" l="1"/>
  <c r="B54" i="5" s="1"/>
  <c r="A10" i="5"/>
  <c r="A11" i="5" s="1"/>
  <c r="A12" i="5" s="1"/>
  <c r="A13" i="5" s="1"/>
  <c r="G16" i="4"/>
  <c r="B58" i="4" s="1"/>
  <c r="A11" i="4"/>
  <c r="A12" i="4" s="1"/>
  <c r="A13" i="4" s="1"/>
  <c r="A14" i="4" s="1"/>
  <c r="A15" i="4" s="1"/>
  <c r="D59" i="5" l="1"/>
  <c r="C54" i="5"/>
  <c r="D63" i="4"/>
  <c r="C58" i="4"/>
  <c r="N55" i="5" l="1"/>
  <c r="L55" i="5"/>
  <c r="H55" i="5"/>
  <c r="E55" i="5"/>
  <c r="O55" i="5"/>
  <c r="O57" i="5" s="1"/>
  <c r="M55" i="5"/>
  <c r="K55" i="5"/>
  <c r="I55" i="5"/>
  <c r="F55" i="5"/>
  <c r="D55" i="5"/>
  <c r="J53" i="5"/>
  <c r="O59" i="4"/>
  <c r="O61" i="4" s="1"/>
  <c r="M59" i="4"/>
  <c r="I59" i="4"/>
  <c r="F59" i="4"/>
  <c r="D59" i="4"/>
  <c r="N59" i="4"/>
  <c r="L59" i="4"/>
  <c r="J59" i="4"/>
  <c r="G59" i="4"/>
  <c r="E59" i="4"/>
  <c r="K58" i="4"/>
  <c r="D56" i="5" l="1"/>
  <c r="D58" i="5"/>
  <c r="D57" i="5"/>
  <c r="E56" i="5"/>
  <c r="I57" i="5"/>
  <c r="M58" i="5"/>
  <c r="M57" i="5"/>
  <c r="O56" i="5"/>
  <c r="M56" i="5"/>
  <c r="N56" i="5"/>
  <c r="E58" i="5"/>
  <c r="E57" i="5"/>
  <c r="L57" i="5"/>
  <c r="J55" i="5"/>
  <c r="J54" i="5"/>
  <c r="J56" i="5"/>
  <c r="I56" i="5"/>
  <c r="I58" i="5" s="1"/>
  <c r="F56" i="5"/>
  <c r="F58" i="5"/>
  <c r="F57" i="5"/>
  <c r="H56" i="5"/>
  <c r="K58" i="5"/>
  <c r="K57" i="5"/>
  <c r="H58" i="5"/>
  <c r="H57" i="5"/>
  <c r="N58" i="5"/>
  <c r="N57" i="5"/>
  <c r="G62" i="4"/>
  <c r="G61" i="4"/>
  <c r="E62" i="4"/>
  <c r="E61" i="4"/>
  <c r="J62" i="4"/>
  <c r="J60" i="4"/>
  <c r="J61" i="4"/>
  <c r="N62" i="4"/>
  <c r="N61" i="4"/>
  <c r="F61" i="4"/>
  <c r="G60" i="4"/>
  <c r="F62" i="4"/>
  <c r="I60" i="4"/>
  <c r="I62" i="4" s="1"/>
  <c r="F60" i="4"/>
  <c r="M62" i="4"/>
  <c r="M61" i="4"/>
  <c r="N60" i="4"/>
  <c r="O60" i="4"/>
  <c r="M60" i="4"/>
  <c r="K61" i="4"/>
  <c r="K60" i="4"/>
  <c r="L61" i="4"/>
  <c r="D61" i="4"/>
  <c r="E60" i="4"/>
  <c r="D62" i="4"/>
  <c r="D60" i="4"/>
  <c r="I61" i="4"/>
  <c r="K56" i="5" l="1"/>
  <c r="L56" i="5"/>
  <c r="L58" i="5" s="1"/>
  <c r="L62" i="4"/>
  <c r="L60" i="4"/>
  <c r="K59" i="4"/>
</calcChain>
</file>

<file path=xl/sharedStrings.xml><?xml version="1.0" encoding="utf-8"?>
<sst xmlns="http://schemas.openxmlformats.org/spreadsheetml/2006/main" count="171" uniqueCount="57">
  <si>
    <t>PHIẾU  NHẬP  KHO</t>
  </si>
  <si>
    <t xml:space="preserve">Số phiếu : </t>
  </si>
  <si>
    <t>Ngày nhập kho :</t>
  </si>
  <si>
    <t>Nhà cung cấp :</t>
  </si>
  <si>
    <t>STT</t>
  </si>
  <si>
    <t>Mã sản phẩm</t>
  </si>
  <si>
    <t>Tên sản phẩm</t>
  </si>
  <si>
    <t xml:space="preserve">Đơn  vị </t>
  </si>
  <si>
    <t xml:space="preserve">Số lượng  </t>
  </si>
  <si>
    <t>Đơn giá</t>
  </si>
  <si>
    <t>Thành  tiền</t>
  </si>
  <si>
    <t>Ghi chú</t>
  </si>
  <si>
    <t>Cộng</t>
  </si>
  <si>
    <r>
      <t>Người lập phiếu</t>
    </r>
    <r>
      <rPr>
        <sz val="12"/>
        <rFont val="Times New Roman"/>
        <family val="1"/>
      </rPr>
      <t xml:space="preserve">
(</t>
    </r>
    <r>
      <rPr>
        <i/>
        <sz val="12"/>
        <rFont val="Times New Roman"/>
        <family val="1"/>
      </rPr>
      <t>Ký,họ tên)</t>
    </r>
  </si>
  <si>
    <r>
      <t xml:space="preserve">      Người nhận hàng</t>
    </r>
    <r>
      <rPr>
        <sz val="12"/>
        <rFont val="Times New Roman"/>
        <family val="1"/>
      </rPr>
      <t xml:space="preserve">
     </t>
    </r>
    <r>
      <rPr>
        <i/>
        <sz val="12"/>
        <rFont val="Times New Roman"/>
        <family val="1"/>
      </rPr>
      <t>(Ký,họ tên)</t>
    </r>
  </si>
  <si>
    <r>
      <t xml:space="preserve">      Người giao hàng
     </t>
    </r>
    <r>
      <rPr>
        <i/>
        <sz val="12"/>
        <rFont val="Times New Roman"/>
        <family val="1"/>
      </rPr>
      <t>(Ký,họ tên)</t>
    </r>
  </si>
  <si>
    <r>
      <t>Thủ kho</t>
    </r>
    <r>
      <rPr>
        <sz val="12"/>
        <rFont val="Times New Roman"/>
        <family val="1"/>
      </rPr>
      <t xml:space="preserve">
</t>
    </r>
    <r>
      <rPr>
        <i/>
        <sz val="12"/>
        <rFont val="Times New Roman"/>
        <family val="1"/>
      </rPr>
      <t>(Ký,họ tên)</t>
    </r>
  </si>
  <si>
    <t>CHƯƠNG TRÌNH ĐỌC SỐ PHIẾU THU _ PHIẾU CHI</t>
  </si>
  <si>
    <t>đồng.</t>
  </si>
  <si>
    <t>PHIẾU  XUẤT  KHO</t>
  </si>
  <si>
    <t xml:space="preserve">Số phiếu xuất : </t>
  </si>
  <si>
    <t xml:space="preserve">Ngày xuất kho : </t>
  </si>
  <si>
    <t xml:space="preserve">Mục đích xuất kho : </t>
  </si>
  <si>
    <t>Thành tiền</t>
  </si>
  <si>
    <r>
      <t>Người lập phiếu</t>
    </r>
    <r>
      <rPr>
        <sz val="12"/>
        <rFont val="Times New Roman"/>
        <family val="1"/>
      </rPr>
      <t xml:space="preserve">
</t>
    </r>
    <r>
      <rPr>
        <i/>
        <sz val="12"/>
        <rFont val="Times New Roman"/>
        <family val="1"/>
      </rPr>
      <t>(Ký,họ tên)</t>
    </r>
  </si>
  <si>
    <t>Tên sản phẩm
Name product</t>
  </si>
  <si>
    <t>Ngày</t>
  </si>
  <si>
    <t>Số lô</t>
  </si>
  <si>
    <t>Số phiếu nhập/xuất</t>
  </si>
  <si>
    <t>Số bao</t>
  </si>
  <si>
    <t>Số lượng (kg) nhập kho</t>
  </si>
  <si>
    <t>Số lượng (kg) xuất kho</t>
  </si>
  <si>
    <t>Số lượng (kg) tồn kho</t>
  </si>
  <si>
    <t>Người nhập</t>
  </si>
  <si>
    <t>Người xuất</t>
  </si>
  <si>
    <t>Ghi chú 
Remark</t>
  </si>
  <si>
    <t>Mã VT</t>
  </si>
  <si>
    <t>Tên vật tư</t>
  </si>
  <si>
    <t>Đơn 
vị</t>
  </si>
  <si>
    <t>CĐ</t>
  </si>
  <si>
    <t>Tồn đầu kỳ</t>
  </si>
  <si>
    <t xml:space="preserve">Nhập </t>
  </si>
  <si>
    <t>Xuất</t>
  </si>
  <si>
    <t>Tồn</t>
  </si>
  <si>
    <t>Tổng cộng:</t>
  </si>
  <si>
    <t>kg</t>
  </si>
  <si>
    <t>TP</t>
  </si>
  <si>
    <t>BTP</t>
  </si>
  <si>
    <t>NL</t>
  </si>
  <si>
    <t xml:space="preserve">BẢNG TỔNG HỢP NHẬP XUẤT TỒN </t>
  </si>
  <si>
    <t>BÁO CÁO KIỂM KÊ KHO</t>
  </si>
  <si>
    <t>Tháng……</t>
  </si>
  <si>
    <t>Tồn kho sổ sách</t>
  </si>
  <si>
    <t>Tồn kho thực tế</t>
  </si>
  <si>
    <t>Chênh lệch</t>
  </si>
  <si>
    <t>PHIẾU XUẤT NHẬP KHO - THẺ KHO</t>
  </si>
  <si>
    <t>Từ ngày …/…/... đến …/…/….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</si>
</sst>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.00\ _₫_-;\-* #,##0.00\ _₫_-;_-* &quot;-&quot;??\ _₫_-;_-@_-"/>
    <numFmt numFmtId="168" formatCode="_(* #,##0.0_);_(* \(#,##0.0\);_(* &quot;-&quot;??_);_(@_)"/>
    <numFmt numFmtId="169" formatCode="_-&quot;$&quot;* #,##0.00_-;\-&quot;$&quot;* #,##0.00_-;_-&quot;$&quot;* &quot;-&quot;??_-;_-@_-"/>
    <numFmt numFmtId="170" formatCode="_-&quot;\&quot;* #,##0.00_-;\-&quot;\&quot;* #,##0.00_-;_-&quot;\&quot;* &quot;-&quot;??_-;_-@_-"/>
    <numFmt numFmtId="171" formatCode="_-&quot;\&quot;* #,##0_-;\-&quot;\&quot;* #,##0_-;_-&quot;\&quot;* &quot;-&quot;_-;_-@_-"/>
    <numFmt numFmtId="172" formatCode="_ * #,##0.00_ ;_ * \-#,##0.00_ ;_ * &quot;-&quot;??_ ;_ @_ "/>
    <numFmt numFmtId="173" formatCode="_ * #,##0_ ;_ * \-#,##0_ ;_ * &quot;-&quot;_ ;_ @_ "/>
    <numFmt numFmtId="174" formatCode="&quot;$&quot;#,##0;[Red]\-&quot;$&quot;#,##0"/>
    <numFmt numFmtId="175" formatCode="#,###&quot; &quot;;\(#,###\)"/>
    <numFmt numFmtId="176" formatCode="#,###&quot;  &quot;;\(#,###\)&quot; &quot;"/>
    <numFmt numFmtId="177" formatCode="_-* #,##0\ &quot;F&quot;_-;\-* #,##0\ &quot;F&quot;_-;_-* &quot;-&quot;\ &quot;F&quot;_-;_-@_-"/>
    <numFmt numFmtId="178" formatCode="_-* #,##0\ &quot;$&quot;_-;\-* #,##0\ &quot;$&quot;_-;_-* &quot;-&quot;\ &quot;$&quot;_-;_-@_-"/>
    <numFmt numFmtId="179" formatCode="_-&quot;$&quot;* #,##0_-;\-&quot;$&quot;* #,##0_-;_-&quot;$&quot;* &quot;-&quot;_-;_-@_-"/>
    <numFmt numFmtId="180" formatCode="_-&quot;ñ&quot;* #,##0_-;\-&quot;ñ&quot;* #,##0_-;_-&quot;ñ&quot;* &quot;-&quot;_-;_-@_-"/>
    <numFmt numFmtId="181" formatCode="0.0000"/>
    <numFmt numFmtId="182" formatCode="_-* #,##0.00\ _V_N_D_-;\-* #,##0.00\ _V_N_D_-;_-* &quot;-&quot;??\ _V_N_D_-;_-@_-"/>
    <numFmt numFmtId="183" formatCode="_-* #,##0.00\ _F_-;\-* #,##0.00\ _F_-;_-* &quot;-&quot;??\ _F_-;_-@_-"/>
    <numFmt numFmtId="184" formatCode="_-* #,##0.00\ _€_-;\-* #,##0.00\ _€_-;_-* &quot;-&quot;??\ _€_-;_-@_-"/>
    <numFmt numFmtId="185" formatCode="_-* #,##0.00\ _ñ_-;\-* #,##0.00\ _ñ_-;_-* &quot;-&quot;??\ _ñ_-;_-@_-"/>
    <numFmt numFmtId="186" formatCode="_(&quot;$&quot;\ * #,##0_);_(&quot;$&quot;\ * \(#,##0\);_(&quot;$&quot;\ * &quot;-&quot;_);_(@_)"/>
    <numFmt numFmtId="187" formatCode="&quot;$&quot;#,##0.00;[Red]\-&quot;$&quot;#,##0.00"/>
    <numFmt numFmtId="188" formatCode="_-* #,##0\ &quot;ñ&quot;_-;\-* #,##0\ &quot;ñ&quot;_-;_-* &quot;-&quot;\ &quot;ñ&quot;_-;_-@_-"/>
    <numFmt numFmtId="189" formatCode="_-* #,##0\ _V_N_D_-;\-* #,##0\ _V_N_D_-;_-* &quot;-&quot;\ _V_N_D_-;_-@_-"/>
    <numFmt numFmtId="190" formatCode="_-* #,##0\ _F_-;\-* #,##0\ _F_-;_-* &quot;-&quot;\ _F_-;_-@_-"/>
    <numFmt numFmtId="191" formatCode="_-* #,##0\ _€_-;\-* #,##0\ _€_-;_-* &quot;-&quot;\ _€_-;_-@_-"/>
    <numFmt numFmtId="192" formatCode="_-* #,##0\ _$_-;\-* #,##0\ _$_-;_-* &quot;-&quot;\ _$_-;_-@_-"/>
    <numFmt numFmtId="193" formatCode="_-* #,##0\ _ñ_-;\-* #,##0\ _ñ_-;_-* &quot;-&quot;\ _ñ_-;_-@_-"/>
    <numFmt numFmtId="194" formatCode="&quot;SFr.&quot;\ #,##0.00;[Red]&quot;SFr.&quot;\ \-#,##0.00"/>
    <numFmt numFmtId="195" formatCode="_ &quot;SFr.&quot;\ * #,##0_ ;_ &quot;SFr.&quot;\ * \-#,##0_ ;_ &quot;SFr.&quot;\ * &quot;-&quot;_ ;_ @_ "/>
    <numFmt numFmtId="196" formatCode="_(* #,##0.00000000_);_(* \(#,##0.00000000\);_(* &quot;-&quot;??_);_(@_)"/>
    <numFmt numFmtId="197" formatCode="#,##0.0_);\(#,##0.0\)"/>
    <numFmt numFmtId="198" formatCode="_(* #,##0.0000_);_(* \(#,##0.0000\);_(* &quot;-&quot;??_);_(@_)"/>
    <numFmt numFmtId="199" formatCode="0.0%;[Red]\(0.0%\)"/>
    <numFmt numFmtId="200" formatCode="_ * #,##0.00_)&quot;£&quot;_ ;_ * \(#,##0.00\)&quot;£&quot;_ ;_ * &quot;-&quot;??_)&quot;£&quot;_ ;_ @_ "/>
    <numFmt numFmtId="201" formatCode="0.0%;\(0.0%\)"/>
    <numFmt numFmtId="202" formatCode="_-* #,##0.00\ &quot;F&quot;_-;\-* #,##0.00\ &quot;F&quot;_-;_-* &quot;-&quot;??\ &quot;F&quot;_-;_-@_-"/>
    <numFmt numFmtId="203" formatCode="_-* #,##0\ _k_r_-;\-* #,##0\ _k_r_-;_-* &quot;-&quot;\ _k_r_-;_-@_-"/>
    <numFmt numFmtId="204" formatCode="dd/mm"/>
    <numFmt numFmtId="205" formatCode="\$#,##0\ ;\(\$#,##0\)"/>
    <numFmt numFmtId="206" formatCode="_(* #,##0.000_);_(* \(#,##0.000\);_(* &quot;-&quot;??_);_(@_)"/>
    <numFmt numFmtId="207" formatCode="_-[$€]* #,##0.00_-;\-[$€]* #,##0.00_-;_-[$€]* &quot;-&quot;??_-;_-@_-"/>
    <numFmt numFmtId="208" formatCode="_(* #,##0.000000_);_(* \(#,##0.000000\);_(* &quot;-&quot;??_);_(@_)"/>
    <numFmt numFmtId="209" formatCode="#,##0\ &quot;$&quot;_);[Red]\(#,##0\ &quot;$&quot;\)"/>
    <numFmt numFmtId="210" formatCode="&quot;$&quot;###,0&quot;.&quot;00_);[Red]\(&quot;$&quot;###,0&quot;.&quot;00\)"/>
    <numFmt numFmtId="211" formatCode="0.00_)"/>
    <numFmt numFmtId="212" formatCode="#,##0.000_);\(#,##0.000\)"/>
    <numFmt numFmtId="213" formatCode="#,##0.00\ &quot;F&quot;;[Red]\-#,##0.00\ &quot;F&quot;"/>
    <numFmt numFmtId="214" formatCode="#,##0\ &quot;F&quot;;\-#,##0\ &quot;F&quot;"/>
    <numFmt numFmtId="215" formatCode="#,##0\ &quot;F&quot;;[Red]\-#,##0\ &quot;F&quot;"/>
    <numFmt numFmtId="216" formatCode="0\ \ \ \ "/>
    <numFmt numFmtId="217" formatCode="&quot;$&quot;\ #,##0.00;&quot;$&quot;\ \-#,##0.00"/>
    <numFmt numFmtId="218" formatCode="0.000"/>
    <numFmt numFmtId="219" formatCode="&quot;\&quot;#,##0.00;[Red]&quot;\&quot;\-#,##0.00"/>
    <numFmt numFmtId="220" formatCode="&quot;\&quot;#,##0;[Red]&quot;\&quot;\-#,##0"/>
  </numFmts>
  <fonts count="10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VNI-Times"/>
    </font>
    <font>
      <b/>
      <sz val="2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0"/>
      <name val="VNI-Times"/>
    </font>
    <font>
      <sz val="10"/>
      <color indexed="12"/>
      <name val="Times New Roman"/>
      <family val="1"/>
    </font>
    <font>
      <sz val="10"/>
      <color indexed="9"/>
      <name val="Times New Roman"/>
      <family val="1"/>
    </font>
    <font>
      <b/>
      <sz val="10"/>
      <color indexed="12"/>
      <name val="Times New Roman"/>
      <family val="1"/>
    </font>
    <font>
      <sz val="12.5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0"/>
      <name val="VNI-Helve-Condense"/>
    </font>
    <font>
      <b/>
      <sz val="10"/>
      <name val="VNI-Helve-Condense"/>
    </font>
    <font>
      <sz val="10"/>
      <name val="VNI-Helve-Condense"/>
    </font>
    <font>
      <sz val="10"/>
      <name val=".VnArial"/>
      <family val="2"/>
    </font>
    <font>
      <i/>
      <sz val="11"/>
      <name val="VNI-Helve-Condense"/>
    </font>
    <font>
      <i/>
      <sz val="11"/>
      <color indexed="48"/>
      <name val="Times New Roman"/>
      <family val="1"/>
    </font>
    <font>
      <sz val="11"/>
      <name val=".VnTime"/>
      <family val="2"/>
    </font>
    <font>
      <sz val="12"/>
      <name val="VNI-Times"/>
    </font>
    <font>
      <b/>
      <sz val="25"/>
      <name val="Times New Roman"/>
      <family val="1"/>
    </font>
    <font>
      <sz val="10"/>
      <name val="Times New Roman"/>
      <family val="1"/>
    </font>
    <font>
      <sz val="10.5"/>
      <color indexed="12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i/>
      <sz val="12.3"/>
      <color theme="1"/>
      <name val="Times New Roman"/>
      <family val="1"/>
    </font>
    <font>
      <sz val="12.5"/>
      <color theme="1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u/>
      <sz val="11"/>
      <color indexed="12"/>
      <name val="VNI-Times"/>
    </font>
    <font>
      <b/>
      <sz val="11"/>
      <color indexed="10"/>
      <name val="Times New Roman"/>
      <family val="1"/>
    </font>
    <font>
      <b/>
      <sz val="13"/>
      <color indexed="10"/>
      <name val="Times New Roman"/>
      <family val="1"/>
    </font>
    <font>
      <sz val="13"/>
      <color indexed="12"/>
      <name val="Times New Roman"/>
      <family val="1"/>
    </font>
    <font>
      <sz val="11"/>
      <color indexed="8"/>
      <name val="Times New Roman"/>
      <family val="1"/>
    </font>
    <font>
      <sz val="11"/>
      <color indexed="12"/>
      <name val="Times New Roman"/>
      <family val="1"/>
    </font>
    <font>
      <sz val="10"/>
      <name val="VNI-Helve"/>
    </font>
    <font>
      <sz val="12"/>
      <name val="VNtimes new roman"/>
      <family val="2"/>
    </font>
    <font>
      <sz val="11"/>
      <name val="??"/>
      <family val="3"/>
      <charset val="129"/>
    </font>
    <font>
      <sz val="10"/>
      <name val="?? ??"/>
      <family val="1"/>
      <charset val="136"/>
    </font>
    <font>
      <sz val="11"/>
      <name val="NTTimes/Cyrillic"/>
    </font>
    <font>
      <sz val="12"/>
      <name val="????"/>
      <charset val="136"/>
    </font>
    <font>
      <sz val="12"/>
      <name val="???"/>
      <family val="3"/>
    </font>
    <font>
      <sz val="12"/>
      <name val="Courier"/>
      <family val="3"/>
    </font>
    <font>
      <sz val="12"/>
      <name val="???"/>
      <family val="1"/>
      <charset val="129"/>
    </font>
    <font>
      <sz val="10"/>
      <name val="QBJ-??10pt"/>
      <family val="3"/>
      <charset val="129"/>
    </font>
    <font>
      <sz val="12"/>
      <color indexed="8"/>
      <name val="???"/>
      <family val="1"/>
      <charset val="129"/>
    </font>
    <font>
      <b/>
      <u/>
      <sz val="14"/>
      <color indexed="8"/>
      <name val=".VnBook-AntiquaH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UAAA¼"/>
      <family val="3"/>
      <charset val="129"/>
    </font>
    <font>
      <sz val="12"/>
      <name val="¹ÙÅÁÃ¼"/>
      <charset val="129"/>
    </font>
    <font>
      <sz val="11"/>
      <name val="µ¸¿ò"/>
      <charset val="129"/>
    </font>
    <font>
      <sz val="10"/>
      <name val="Helv"/>
    </font>
    <font>
      <b/>
      <sz val="10"/>
      <name val="Helv"/>
    </font>
    <font>
      <sz val="10"/>
      <name val="Arial"/>
      <family val="2"/>
      <charset val="163"/>
    </font>
    <font>
      <sz val="12"/>
      <color indexed="8"/>
      <name val="Times New 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2"/>
      <name val=".VnBook-AntiquaH"/>
      <family val="2"/>
    </font>
    <font>
      <b/>
      <sz val="12"/>
      <name val="Helv"/>
    </font>
    <font>
      <b/>
      <sz val="10"/>
      <name val=".VnTime"/>
      <family val="2"/>
    </font>
    <font>
      <b/>
      <sz val="14"/>
      <name val=".VnTimeH"/>
      <family val="2"/>
    </font>
    <font>
      <u/>
      <sz val="12"/>
      <color indexed="12"/>
      <name val="VNI-Times"/>
    </font>
    <font>
      <sz val="12"/>
      <name val="NTTimes/Cyrillic"/>
    </font>
    <font>
      <sz val="10"/>
      <name val="MS Sans Serif"/>
      <family val="2"/>
    </font>
    <font>
      <b/>
      <sz val="11"/>
      <name val="Helv"/>
    </font>
    <font>
      <sz val="12"/>
      <name val="Arial"/>
      <family val="2"/>
    </font>
    <font>
      <b/>
      <i/>
      <sz val="16"/>
      <name val="Helv"/>
    </font>
    <font>
      <sz val="12"/>
      <name val="바탕체"/>
      <family val="1"/>
      <charset val="129"/>
    </font>
    <font>
      <sz val="12"/>
      <color theme="1"/>
      <name val="Times New Roman"/>
      <family val="2"/>
    </font>
    <font>
      <b/>
      <sz val="11"/>
      <name val="Arial"/>
      <family val="2"/>
    </font>
    <font>
      <sz val="12"/>
      <name val="Helv"/>
      <family val="2"/>
    </font>
    <font>
      <b/>
      <sz val="10"/>
      <name val="MS Sans Serif"/>
      <family val="2"/>
    </font>
    <font>
      <sz val="13"/>
      <name val=".VnTime"/>
      <family val="2"/>
    </font>
    <font>
      <sz val="12"/>
      <name val="VNTime"/>
    </font>
    <font>
      <sz val="10"/>
      <name val="VNtimes new roman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4"/>
      <name val=".VnArial"/>
      <family val="2"/>
    </font>
    <font>
      <sz val="10"/>
      <name val=" "/>
      <family val="1"/>
      <charset val="136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0"/>
      <name val="Helv"/>
      <family val="2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9"/>
      <name val="Arial"/>
      <family val="2"/>
    </font>
    <font>
      <b/>
      <sz val="2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0"/>
      </right>
      <top/>
      <bottom/>
      <diagonal/>
    </border>
  </borders>
  <cellStyleXfs count="637">
    <xf numFmtId="0" fontId="0" fillId="0" borderId="0"/>
    <xf numFmtId="0" fontId="2" fillId="0" borderId="0"/>
    <xf numFmtId="0" fontId="4" fillId="0" borderId="0"/>
    <xf numFmtId="0" fontId="5" fillId="0" borderId="0"/>
    <xf numFmtId="0" fontId="9" fillId="0" borderId="0"/>
    <xf numFmtId="43" fontId="4" fillId="0" borderId="0" applyFont="0" applyFill="0" applyBorder="0" applyAlignment="0" applyProtection="0"/>
    <xf numFmtId="0" fontId="4" fillId="0" borderId="0"/>
    <xf numFmtId="0" fontId="15" fillId="0" borderId="0"/>
    <xf numFmtId="0" fontId="9" fillId="0" borderId="0"/>
    <xf numFmtId="0" fontId="2" fillId="0" borderId="0"/>
    <xf numFmtId="0" fontId="5" fillId="0" borderId="0"/>
    <xf numFmtId="0" fontId="20" fillId="0" borderId="0"/>
    <xf numFmtId="43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0" fontId="24" fillId="0" borderId="0"/>
    <xf numFmtId="0" fontId="2" fillId="0" borderId="0"/>
    <xf numFmtId="0" fontId="33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9" fillId="0" borderId="0"/>
    <xf numFmtId="169" fontId="41" fillId="0" borderId="0" applyFont="0" applyFill="0" applyBorder="0" applyAlignment="0" applyProtection="0"/>
    <xf numFmtId="0" fontId="19" fillId="0" borderId="15" applyNumberFormat="0"/>
    <xf numFmtId="166" fontId="42" fillId="0" borderId="16" applyFont="0" applyBorder="0"/>
    <xf numFmtId="170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171" fontId="43" fillId="0" borderId="0" applyFont="0" applyFill="0" applyBorder="0" applyAlignment="0" applyProtection="0"/>
    <xf numFmtId="172" fontId="20" fillId="0" borderId="0" applyFont="0" applyFill="0" applyBorder="0" applyAlignment="0" applyProtection="0"/>
    <xf numFmtId="0" fontId="45" fillId="0" borderId="0">
      <alignment horizontal="left" wrapText="1"/>
    </xf>
    <xf numFmtId="173" fontId="20" fillId="0" borderId="0" applyFont="0" applyFill="0" applyBorder="0" applyAlignment="0" applyProtection="0"/>
    <xf numFmtId="164" fontId="46" fillId="0" borderId="0" applyFont="0" applyFill="0" applyBorder="0" applyAlignment="0" applyProtection="0"/>
    <xf numFmtId="9" fontId="47" fillId="0" borderId="0" applyFont="0" applyFill="0" applyBorder="0" applyAlignment="0" applyProtection="0"/>
    <xf numFmtId="174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75" fontId="50" fillId="0" borderId="0" applyFill="0" applyBorder="0" applyProtection="0">
      <alignment vertical="center"/>
    </xf>
    <xf numFmtId="176" fontId="51" fillId="0" borderId="0" applyFill="0" applyBorder="0" applyProtection="0">
      <alignment vertical="center"/>
      <protection locked="0"/>
    </xf>
    <xf numFmtId="42" fontId="9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2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69" fontId="4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1" fontId="41" fillId="0" borderId="0" applyFont="0" applyFill="0" applyBorder="0" applyAlignment="0" applyProtection="0"/>
    <xf numFmtId="180" fontId="24" fillId="0" borderId="0" applyFont="0" applyFill="0" applyBorder="0" applyAlignment="0" applyProtection="0"/>
    <xf numFmtId="169" fontId="4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5" fontId="41" fillId="0" borderId="0" applyFont="0" applyFill="0" applyBorder="0" applyAlignment="0" applyProtection="0"/>
    <xf numFmtId="185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64" fontId="24" fillId="0" borderId="0" applyFont="0" applyFill="0" applyBorder="0" applyAlignment="0" applyProtection="0"/>
    <xf numFmtId="179" fontId="9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4" fontId="41" fillId="0" borderId="0" applyFont="0" applyFill="0" applyBorder="0" applyAlignment="0" applyProtection="0"/>
    <xf numFmtId="186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86" fontId="9" fillId="0" borderId="0" applyFont="0" applyFill="0" applyBorder="0" applyAlignment="0" applyProtection="0"/>
    <xf numFmtId="174" fontId="41" fillId="0" borderId="0" applyFont="0" applyFill="0" applyBorder="0" applyAlignment="0" applyProtection="0"/>
    <xf numFmtId="177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8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42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5" fontId="41" fillId="0" borderId="0" applyFont="0" applyFill="0" applyBorder="0" applyAlignment="0" applyProtection="0"/>
    <xf numFmtId="185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2" fontId="9" fillId="0" borderId="0" applyFont="0" applyFill="0" applyBorder="0" applyAlignment="0" applyProtection="0"/>
    <xf numFmtId="165" fontId="24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89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93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69" fontId="41" fillId="0" borderId="0" applyFont="0" applyFill="0" applyBorder="0" applyAlignment="0" applyProtection="0"/>
    <xf numFmtId="193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4" fontId="41" fillId="0" borderId="0" applyFont="0" applyFill="0" applyBorder="0" applyAlignment="0" applyProtection="0"/>
    <xf numFmtId="186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86" fontId="9" fillId="0" borderId="0" applyFont="0" applyFill="0" applyBorder="0" applyAlignment="0" applyProtection="0"/>
    <xf numFmtId="174" fontId="41" fillId="0" borderId="0" applyFont="0" applyFill="0" applyBorder="0" applyAlignment="0" applyProtection="0"/>
    <xf numFmtId="177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8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64" fontId="24" fillId="0" borderId="0" applyFont="0" applyFill="0" applyBorder="0" applyAlignment="0" applyProtection="0"/>
    <xf numFmtId="42" fontId="9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89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93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69" fontId="41" fillId="0" borderId="0" applyFont="0" applyFill="0" applyBorder="0" applyAlignment="0" applyProtection="0"/>
    <xf numFmtId="193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5" fontId="41" fillId="0" borderId="0" applyFont="0" applyFill="0" applyBorder="0" applyAlignment="0" applyProtection="0"/>
    <xf numFmtId="185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64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69" fontId="4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1" fontId="41" fillId="0" borderId="0" applyFont="0" applyFill="0" applyBorder="0" applyAlignment="0" applyProtection="0"/>
    <xf numFmtId="180" fontId="24" fillId="0" borderId="0" applyFont="0" applyFill="0" applyBorder="0" applyAlignment="0" applyProtection="0"/>
    <xf numFmtId="169" fontId="41" fillId="0" borderId="0" applyFont="0" applyFill="0" applyBorder="0" applyAlignment="0" applyProtection="0"/>
    <xf numFmtId="42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4" fontId="41" fillId="0" borderId="0" applyFont="0" applyFill="0" applyBorder="0" applyAlignment="0" applyProtection="0"/>
    <xf numFmtId="186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86" fontId="9" fillId="0" borderId="0" applyFont="0" applyFill="0" applyBorder="0" applyAlignment="0" applyProtection="0"/>
    <xf numFmtId="174" fontId="41" fillId="0" borderId="0" applyFont="0" applyFill="0" applyBorder="0" applyAlignment="0" applyProtection="0"/>
    <xf numFmtId="177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8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89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93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69" fontId="41" fillId="0" borderId="0" applyFont="0" applyFill="0" applyBorder="0" applyAlignment="0" applyProtection="0"/>
    <xf numFmtId="193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5" fontId="41" fillId="0" borderId="0" applyFont="0" applyFill="0" applyBorder="0" applyAlignment="0" applyProtection="0"/>
    <xf numFmtId="185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69" fontId="4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1" fontId="41" fillId="0" borderId="0" applyFont="0" applyFill="0" applyBorder="0" applyAlignment="0" applyProtection="0"/>
    <xf numFmtId="180" fontId="24" fillId="0" borderId="0" applyFont="0" applyFill="0" applyBorder="0" applyAlignment="0" applyProtection="0"/>
    <xf numFmtId="169" fontId="41" fillId="0" borderId="0" applyFont="0" applyFill="0" applyBorder="0" applyAlignment="0" applyProtection="0"/>
    <xf numFmtId="165" fontId="24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2" fillId="0" borderId="0"/>
    <xf numFmtId="0" fontId="19" fillId="0" borderId="15"/>
    <xf numFmtId="0" fontId="19" fillId="0" borderId="15"/>
    <xf numFmtId="0" fontId="52" fillId="2" borderId="0"/>
    <xf numFmtId="9" fontId="53" fillId="0" borderId="0" applyBorder="0" applyAlignment="0" applyProtection="0"/>
    <xf numFmtId="0" fontId="54" fillId="2" borderId="0"/>
    <xf numFmtId="0" fontId="55" fillId="2" borderId="0"/>
    <xf numFmtId="0" fontId="56" fillId="0" borderId="0">
      <alignment wrapText="1"/>
    </xf>
    <xf numFmtId="194" fontId="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195" fontId="2" fillId="0" borderId="0" applyFont="0" applyFill="0" applyBorder="0" applyAlignment="0" applyProtection="0"/>
    <xf numFmtId="0" fontId="57" fillId="0" borderId="0" applyFont="0" applyFill="0" applyBorder="0" applyAlignment="0" applyProtection="0"/>
    <xf numFmtId="196" fontId="24" fillId="0" borderId="0" applyFont="0" applyFill="0" applyBorder="0" applyAlignment="0" applyProtection="0"/>
    <xf numFmtId="173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73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172" fontId="58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57" fillId="0" borderId="0"/>
    <xf numFmtId="0" fontId="26" fillId="0" borderId="0"/>
    <xf numFmtId="0" fontId="57" fillId="0" borderId="0"/>
    <xf numFmtId="0" fontId="59" fillId="0" borderId="0"/>
    <xf numFmtId="0" fontId="2" fillId="0" borderId="0" applyFill="0" applyBorder="0" applyAlignment="0"/>
    <xf numFmtId="197" fontId="60" fillId="0" borderId="0" applyFill="0" applyBorder="0" applyAlignment="0"/>
    <xf numFmtId="198" fontId="60" fillId="0" borderId="0" applyFill="0" applyBorder="0" applyAlignment="0"/>
    <xf numFmtId="199" fontId="60" fillId="0" borderId="0" applyFill="0" applyBorder="0" applyAlignment="0"/>
    <xf numFmtId="200" fontId="2" fillId="0" borderId="0" applyFill="0" applyBorder="0" applyAlignment="0"/>
    <xf numFmtId="169" fontId="60" fillId="0" borderId="0" applyFill="0" applyBorder="0" applyAlignment="0"/>
    <xf numFmtId="201" fontId="60" fillId="0" borderId="0" applyFill="0" applyBorder="0" applyAlignment="0"/>
    <xf numFmtId="197" fontId="60" fillId="0" borderId="0" applyFill="0" applyBorder="0" applyAlignment="0"/>
    <xf numFmtId="0" fontId="61" fillId="0" borderId="0"/>
    <xf numFmtId="202" fontId="9" fillId="0" borderId="0" applyFont="0" applyFill="0" applyBorder="0" applyAlignment="0" applyProtection="0"/>
    <xf numFmtId="169" fontId="60" fillId="0" borderId="0" applyFont="0" applyFill="0" applyBorder="0" applyAlignment="0" applyProtection="0"/>
    <xf numFmtId="203" fontId="2" fillId="0" borderId="0" applyFont="0" applyFill="0" applyBorder="0" applyProtection="0"/>
    <xf numFmtId="203" fontId="2" fillId="0" borderId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2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2" fillId="0" borderId="0" applyFont="0" applyFill="0" applyBorder="0" applyAlignment="0" applyProtection="0"/>
    <xf numFmtId="197" fontId="60" fillId="0" borderId="0" applyFont="0" applyFill="0" applyBorder="0" applyAlignment="0" applyProtection="0"/>
    <xf numFmtId="204" fontId="24" fillId="0" borderId="0" applyFont="0" applyFill="0" applyBorder="0" applyAlignment="0" applyProtection="0"/>
    <xf numFmtId="2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4" fontId="64" fillId="0" borderId="0" applyFill="0" applyBorder="0" applyAlignment="0"/>
    <xf numFmtId="206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169" fontId="60" fillId="0" borderId="0" applyFill="0" applyBorder="0" applyAlignment="0"/>
    <xf numFmtId="197" fontId="60" fillId="0" borderId="0" applyFill="0" applyBorder="0" applyAlignment="0"/>
    <xf numFmtId="169" fontId="60" fillId="0" borderId="0" applyFill="0" applyBorder="0" applyAlignment="0"/>
    <xf numFmtId="201" fontId="60" fillId="0" borderId="0" applyFill="0" applyBorder="0" applyAlignment="0"/>
    <xf numFmtId="197" fontId="60" fillId="0" borderId="0" applyFill="0" applyBorder="0" applyAlignment="0"/>
    <xf numFmtId="207" fontId="2" fillId="0" borderId="0" applyFont="0" applyFill="0" applyBorder="0" applyAlignment="0" applyProtection="0"/>
    <xf numFmtId="0" fontId="65" fillId="0" borderId="0"/>
    <xf numFmtId="2" fontId="2" fillId="0" borderId="0" applyFont="0" applyFill="0" applyBorder="0" applyAlignment="0" applyProtection="0"/>
    <xf numFmtId="38" fontId="66" fillId="3" borderId="0" applyNumberFormat="0" applyBorder="0" applyAlignment="0" applyProtection="0"/>
    <xf numFmtId="0" fontId="67" fillId="0" borderId="0" applyNumberFormat="0" applyFont="0" applyBorder="0" applyAlignment="0">
      <alignment horizontal="left" vertical="center"/>
    </xf>
    <xf numFmtId="0" fontId="68" fillId="0" borderId="0">
      <alignment horizontal="left"/>
    </xf>
    <xf numFmtId="0" fontId="34" fillId="0" borderId="17" applyNumberFormat="0" applyAlignment="0" applyProtection="0">
      <alignment horizontal="left" vertical="center"/>
    </xf>
    <xf numFmtId="0" fontId="34" fillId="0" borderId="2">
      <alignment horizontal="left" vertical="center"/>
    </xf>
    <xf numFmtId="208" fontId="24" fillId="0" borderId="0">
      <protection locked="0"/>
    </xf>
    <xf numFmtId="208" fontId="24" fillId="0" borderId="0">
      <protection locked="0"/>
    </xf>
    <xf numFmtId="5" fontId="69" fillId="4" borderId="3" applyNumberFormat="0" applyAlignment="0">
      <alignment horizontal="left" vertical="top"/>
    </xf>
    <xf numFmtId="49" fontId="70" fillId="0" borderId="3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189" fontId="9" fillId="0" borderId="0" applyFont="0" applyFill="0" applyBorder="0" applyAlignment="0" applyProtection="0"/>
    <xf numFmtId="0" fontId="72" fillId="0" borderId="0"/>
    <xf numFmtId="10" fontId="66" fillId="3" borderId="3" applyNumberFormat="0" applyBorder="0" applyAlignment="0" applyProtection="0"/>
    <xf numFmtId="0" fontId="73" fillId="0" borderId="0"/>
    <xf numFmtId="169" fontId="60" fillId="0" borderId="0" applyFill="0" applyBorder="0" applyAlignment="0"/>
    <xf numFmtId="197" fontId="60" fillId="0" borderId="0" applyFill="0" applyBorder="0" applyAlignment="0"/>
    <xf numFmtId="169" fontId="60" fillId="0" borderId="0" applyFill="0" applyBorder="0" applyAlignment="0"/>
    <xf numFmtId="201" fontId="60" fillId="0" borderId="0" applyFill="0" applyBorder="0" applyAlignment="0"/>
    <xf numFmtId="197" fontId="60" fillId="0" borderId="0" applyFill="0" applyBorder="0" applyAlignment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0" fontId="74" fillId="0" borderId="18"/>
    <xf numFmtId="209" fontId="73" fillId="0" borderId="0" applyFont="0" applyFill="0" applyBorder="0" applyAlignment="0" applyProtection="0"/>
    <xf numFmtId="210" fontId="73" fillId="0" borderId="0" applyFont="0" applyFill="0" applyBorder="0" applyAlignment="0" applyProtection="0"/>
    <xf numFmtId="0" fontId="75" fillId="0" borderId="0" applyNumberFormat="0" applyFont="0" applyFill="0" applyAlignment="0"/>
    <xf numFmtId="211" fontId="76" fillId="0" borderId="0"/>
    <xf numFmtId="0" fontId="77" fillId="0" borderId="0"/>
    <xf numFmtId="0" fontId="2" fillId="0" borderId="0"/>
    <xf numFmtId="0" fontId="7" fillId="0" borderId="0"/>
    <xf numFmtId="0" fontId="7" fillId="0" borderId="0"/>
    <xf numFmtId="0" fontId="78" fillId="0" borderId="0"/>
    <xf numFmtId="0" fontId="79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26" fillId="0" borderId="0"/>
    <xf numFmtId="20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9" fontId="60" fillId="0" borderId="0" applyFill="0" applyBorder="0" applyAlignment="0"/>
    <xf numFmtId="197" fontId="60" fillId="0" borderId="0" applyFill="0" applyBorder="0" applyAlignment="0"/>
    <xf numFmtId="169" fontId="60" fillId="0" borderId="0" applyFill="0" applyBorder="0" applyAlignment="0"/>
    <xf numFmtId="201" fontId="60" fillId="0" borderId="0" applyFill="0" applyBorder="0" applyAlignment="0"/>
    <xf numFmtId="197" fontId="60" fillId="0" borderId="0" applyFill="0" applyBorder="0" applyAlignment="0"/>
    <xf numFmtId="0" fontId="80" fillId="0" borderId="0"/>
    <xf numFmtId="0" fontId="73" fillId="0" borderId="0" applyNumberFormat="0" applyFont="0" applyFill="0" applyBorder="0" applyAlignment="0" applyProtection="0">
      <alignment horizontal="left"/>
    </xf>
    <xf numFmtId="0" fontId="81" fillId="0" borderId="18">
      <alignment horizontal="center"/>
    </xf>
    <xf numFmtId="18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89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64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69" fontId="41" fillId="0" borderId="0" applyFont="0" applyFill="0" applyBorder="0" applyAlignment="0" applyProtection="0"/>
    <xf numFmtId="193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89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93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69" fontId="41" fillId="0" borderId="0" applyFont="0" applyFill="0" applyBorder="0" applyAlignment="0" applyProtection="0"/>
    <xf numFmtId="19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79" fontId="41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4" fontId="41" fillId="0" borderId="0" applyFont="0" applyFill="0" applyBorder="0" applyAlignment="0" applyProtection="0"/>
    <xf numFmtId="189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86" fontId="9" fillId="0" borderId="0" applyFont="0" applyFill="0" applyBorder="0" applyAlignment="0" applyProtection="0"/>
    <xf numFmtId="174" fontId="41" fillId="0" borderId="0" applyFont="0" applyFill="0" applyBorder="0" applyAlignment="0" applyProtection="0"/>
    <xf numFmtId="177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64" fontId="41" fillId="0" borderId="0" applyFont="0" applyFill="0" applyBorder="0" applyAlignment="0" applyProtection="0"/>
    <xf numFmtId="173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7" fontId="41" fillId="0" borderId="0" applyFont="0" applyFill="0" applyBorder="0" applyAlignment="0" applyProtection="0"/>
    <xf numFmtId="0" fontId="74" fillId="0" borderId="0"/>
    <xf numFmtId="213" fontId="82" fillId="0" borderId="5">
      <alignment horizontal="right" vertical="center"/>
    </xf>
    <xf numFmtId="49" fontId="64" fillId="0" borderId="0" applyFill="0" applyBorder="0" applyAlignment="0"/>
    <xf numFmtId="214" fontId="2" fillId="0" borderId="0" applyFill="0" applyBorder="0" applyAlignment="0"/>
    <xf numFmtId="215" fontId="2" fillId="0" borderId="0" applyFill="0" applyBorder="0" applyAlignment="0"/>
    <xf numFmtId="214" fontId="9" fillId="0" borderId="3">
      <alignment horizontal="left"/>
    </xf>
    <xf numFmtId="0" fontId="83" fillId="0" borderId="19"/>
    <xf numFmtId="0" fontId="79" fillId="0" borderId="0" applyNumberFormat="0" applyFill="0" applyBorder="0" applyAlignment="0" applyProtection="0"/>
    <xf numFmtId="216" fontId="19" fillId="0" borderId="0"/>
    <xf numFmtId="217" fontId="9" fillId="0" borderId="3"/>
    <xf numFmtId="0" fontId="84" fillId="0" borderId="0"/>
    <xf numFmtId="0" fontId="84" fillId="0" borderId="0"/>
    <xf numFmtId="5" fontId="85" fillId="5" borderId="12">
      <alignment vertical="top"/>
    </xf>
    <xf numFmtId="0" fontId="86" fillId="6" borderId="3">
      <alignment horizontal="left" vertical="center"/>
    </xf>
    <xf numFmtId="6" fontId="87" fillId="7" borderId="12"/>
    <xf numFmtId="5" fontId="69" fillId="0" borderId="12">
      <alignment horizontal="left" vertical="top"/>
    </xf>
    <xf numFmtId="0" fontId="88" fillId="8" borderId="0">
      <alignment horizontal="left" vertical="center"/>
    </xf>
    <xf numFmtId="5" fontId="89" fillId="0" borderId="14">
      <alignment horizontal="left" vertical="top"/>
    </xf>
    <xf numFmtId="0" fontId="90" fillId="0" borderId="14">
      <alignment horizontal="left" vertical="center"/>
    </xf>
    <xf numFmtId="218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91" fillId="0" borderId="0" applyNumberFormat="0" applyFill="0" applyBorder="0" applyAlignment="0" applyProtection="0"/>
    <xf numFmtId="0" fontId="45" fillId="0" borderId="0">
      <alignment horizontal="left" wrapText="1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4" fillId="0" borderId="0">
      <alignment vertical="center"/>
    </xf>
    <xf numFmtId="40" fontId="93" fillId="0" borderId="0" applyFont="0" applyFill="0" applyBorder="0" applyAlignment="0" applyProtection="0"/>
    <xf numFmtId="38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9" fontId="94" fillId="0" borderId="0" applyFont="0" applyFill="0" applyBorder="0" applyAlignment="0" applyProtection="0"/>
    <xf numFmtId="0" fontId="95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64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219" fontId="77" fillId="0" borderId="0" applyFont="0" applyFill="0" applyBorder="0" applyAlignment="0" applyProtection="0"/>
    <xf numFmtId="220" fontId="77" fillId="0" borderId="0" applyFont="0" applyFill="0" applyBorder="0" applyAlignment="0" applyProtection="0"/>
    <xf numFmtId="0" fontId="98" fillId="0" borderId="0"/>
    <xf numFmtId="0" fontId="75" fillId="0" borderId="0"/>
    <xf numFmtId="164" fontId="99" fillId="0" borderId="0" applyFont="0" applyFill="0" applyBorder="0" applyAlignment="0" applyProtection="0"/>
    <xf numFmtId="165" fontId="99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179" fontId="99" fillId="0" borderId="0" applyFont="0" applyFill="0" applyBorder="0" applyAlignment="0" applyProtection="0"/>
    <xf numFmtId="174" fontId="48" fillId="0" borderId="0" applyFont="0" applyFill="0" applyBorder="0" applyAlignment="0" applyProtection="0"/>
    <xf numFmtId="169" fontId="99" fillId="0" borderId="0" applyFont="0" applyFill="0" applyBorder="0" applyAlignment="0" applyProtection="0"/>
  </cellStyleXfs>
  <cellXfs count="121">
    <xf numFmtId="0" fontId="0" fillId="0" borderId="0" xfId="0"/>
    <xf numFmtId="0" fontId="4" fillId="0" borderId="0" xfId="2"/>
    <xf numFmtId="0" fontId="8" fillId="0" borderId="1" xfId="2" applyFont="1" applyBorder="1"/>
    <xf numFmtId="0" fontId="7" fillId="0" borderId="0" xfId="2" applyFont="1"/>
    <xf numFmtId="0" fontId="8" fillId="0" borderId="2" xfId="2" applyFont="1" applyBorder="1"/>
    <xf numFmtId="0" fontId="4" fillId="0" borderId="2" xfId="2" applyBorder="1" applyAlignment="1">
      <alignment horizontal="center"/>
    </xf>
    <xf numFmtId="0" fontId="3" fillId="0" borderId="0" xfId="3" applyFont="1" applyProtection="1">
      <protection locked="0"/>
    </xf>
    <xf numFmtId="0" fontId="4" fillId="0" borderId="0" xfId="2" applyAlignment="1">
      <alignment horizontal="center" vertical="center"/>
    </xf>
    <xf numFmtId="0" fontId="3" fillId="0" borderId="3" xfId="3" applyFont="1" applyBorder="1" applyAlignment="1" applyProtection="1">
      <alignment horizontal="center" vertical="center" wrapText="1"/>
      <protection locked="0"/>
    </xf>
    <xf numFmtId="0" fontId="3" fillId="0" borderId="3" xfId="3" applyFont="1" applyBorder="1" applyAlignment="1" applyProtection="1">
      <alignment horizontal="center" vertical="center"/>
      <protection locked="0"/>
    </xf>
    <xf numFmtId="0" fontId="10" fillId="0" borderId="3" xfId="4" applyFont="1" applyBorder="1" applyAlignment="1">
      <alignment horizontal="center"/>
    </xf>
    <xf numFmtId="0" fontId="10" fillId="0" borderId="3" xfId="4" applyFont="1" applyBorder="1"/>
    <xf numFmtId="43" fontId="10" fillId="0" borderId="3" xfId="5" applyFont="1" applyFill="1" applyBorder="1"/>
    <xf numFmtId="166" fontId="10" fillId="0" borderId="3" xfId="5" applyNumberFormat="1" applyFont="1" applyFill="1" applyBorder="1"/>
    <xf numFmtId="0" fontId="11" fillId="0" borderId="3" xfId="4" applyFont="1" applyBorder="1"/>
    <xf numFmtId="0" fontId="4" fillId="0" borderId="0" xfId="6"/>
    <xf numFmtId="166" fontId="12" fillId="0" borderId="3" xfId="5" applyNumberFormat="1" applyFont="1" applyFill="1" applyBorder="1"/>
    <xf numFmtId="166" fontId="3" fillId="0" borderId="3" xfId="6" applyNumberFormat="1" applyFont="1" applyBorder="1"/>
    <xf numFmtId="0" fontId="13" fillId="0" borderId="0" xfId="3" applyFont="1" applyAlignment="1" applyProtection="1">
      <alignment horizontal="left"/>
      <protection locked="0"/>
    </xf>
    <xf numFmtId="0" fontId="3" fillId="0" borderId="0" xfId="2" applyFont="1" applyAlignment="1">
      <alignment horizontal="center" vertical="center" wrapText="1"/>
    </xf>
    <xf numFmtId="0" fontId="3" fillId="0" borderId="0" xfId="6" applyFont="1"/>
    <xf numFmtId="0" fontId="3" fillId="0" borderId="0" xfId="6" applyFont="1" applyAlignment="1">
      <alignment horizontal="center"/>
    </xf>
    <xf numFmtId="0" fontId="4" fillId="0" borderId="0" xfId="7" applyFont="1"/>
    <xf numFmtId="0" fontId="16" fillId="0" borderId="0" xfId="8" applyFont="1" applyAlignment="1" applyProtection="1">
      <alignment horizontal="center"/>
      <protection hidden="1"/>
    </xf>
    <xf numFmtId="0" fontId="17" fillId="0" borderId="0" xfId="9" applyFont="1"/>
    <xf numFmtId="166" fontId="18" fillId="0" borderId="0" xfId="10" applyNumberFormat="1" applyFont="1"/>
    <xf numFmtId="0" fontId="15" fillId="0" borderId="0" xfId="8" applyFont="1" applyProtection="1">
      <protection hidden="1"/>
    </xf>
    <xf numFmtId="0" fontId="16" fillId="0" borderId="4" xfId="8" applyFont="1" applyBorder="1" applyAlignment="1" applyProtection="1">
      <alignment horizontal="center"/>
      <protection hidden="1"/>
    </xf>
    <xf numFmtId="0" fontId="15" fillId="0" borderId="0" xfId="7"/>
    <xf numFmtId="0" fontId="19" fillId="0" borderId="0" xfId="10" applyFont="1"/>
    <xf numFmtId="0" fontId="15" fillId="0" borderId="4" xfId="8" applyFont="1" applyBorder="1" applyProtection="1">
      <protection hidden="1"/>
    </xf>
    <xf numFmtId="0" fontId="15" fillId="0" borderId="0" xfId="11" applyFont="1" applyAlignment="1" applyProtection="1">
      <alignment horizontal="center"/>
      <protection hidden="1"/>
    </xf>
    <xf numFmtId="0" fontId="15" fillId="0" borderId="0" xfId="8" applyFont="1" applyAlignment="1" applyProtection="1">
      <alignment horizontal="center"/>
      <protection hidden="1"/>
    </xf>
    <xf numFmtId="0" fontId="15" fillId="0" borderId="4" xfId="11" applyFont="1" applyBorder="1" applyAlignment="1" applyProtection="1">
      <alignment horizontal="center"/>
      <protection hidden="1"/>
    </xf>
    <xf numFmtId="0" fontId="15" fillId="0" borderId="4" xfId="8" applyFont="1" applyBorder="1" applyAlignment="1" applyProtection="1">
      <alignment horizontal="center"/>
      <protection hidden="1"/>
    </xf>
    <xf numFmtId="0" fontId="22" fillId="0" borderId="0" xfId="8" applyFont="1" applyProtection="1">
      <protection hidden="1"/>
    </xf>
    <xf numFmtId="0" fontId="23" fillId="0" borderId="0" xfId="9" applyFont="1"/>
    <xf numFmtId="14" fontId="3" fillId="0" borderId="0" xfId="1" applyNumberFormat="1" applyFont="1"/>
    <xf numFmtId="14" fontId="4" fillId="0" borderId="0" xfId="1" applyNumberFormat="1" applyFont="1"/>
    <xf numFmtId="0" fontId="15" fillId="0" borderId="0" xfId="2" applyFont="1"/>
    <xf numFmtId="0" fontId="7" fillId="0" borderId="0" xfId="2" applyFont="1" applyAlignment="1">
      <alignment horizontal="right"/>
    </xf>
    <xf numFmtId="0" fontId="15" fillId="0" borderId="1" xfId="2" applyFont="1" applyBorder="1" applyAlignment="1">
      <alignment horizontal="right"/>
    </xf>
    <xf numFmtId="0" fontId="15" fillId="0" borderId="1" xfId="2" applyFont="1" applyBorder="1"/>
    <xf numFmtId="0" fontId="15" fillId="0" borderId="2" xfId="2" applyFont="1" applyBorder="1"/>
    <xf numFmtId="0" fontId="26" fillId="0" borderId="0" xfId="2" applyFont="1"/>
    <xf numFmtId="0" fontId="16" fillId="0" borderId="0" xfId="3" quotePrefix="1" applyFont="1" applyAlignment="1" applyProtection="1">
      <alignment horizontal="left"/>
      <protection locked="0"/>
    </xf>
    <xf numFmtId="0" fontId="27" fillId="0" borderId="3" xfId="4" applyFont="1" applyBorder="1" applyAlignment="1">
      <alignment horizontal="center"/>
    </xf>
    <xf numFmtId="0" fontId="27" fillId="0" borderId="3" xfId="4" applyFont="1" applyBorder="1"/>
    <xf numFmtId="43" fontId="27" fillId="0" borderId="3" xfId="5" applyFont="1" applyFill="1" applyBorder="1"/>
    <xf numFmtId="166" fontId="27" fillId="0" borderId="3" xfId="5" applyNumberFormat="1" applyFont="1" applyFill="1" applyBorder="1"/>
    <xf numFmtId="0" fontId="26" fillId="0" borderId="0" xfId="6" applyFont="1"/>
    <xf numFmtId="0" fontId="8" fillId="0" borderId="6" xfId="3" applyFont="1" applyBorder="1" applyAlignment="1" applyProtection="1">
      <alignment horizontal="center"/>
      <protection locked="0"/>
    </xf>
    <xf numFmtId="166" fontId="8" fillId="0" borderId="3" xfId="6" applyNumberFormat="1" applyFont="1" applyBorder="1"/>
    <xf numFmtId="0" fontId="7" fillId="0" borderId="0" xfId="6" applyFont="1"/>
    <xf numFmtId="0" fontId="3" fillId="0" borderId="0" xfId="2" applyFont="1" applyAlignment="1">
      <alignment vertical="center" wrapText="1"/>
    </xf>
    <xf numFmtId="0" fontId="4" fillId="0" borderId="0" xfId="2" applyAlignment="1">
      <alignment vertical="center" wrapText="1"/>
    </xf>
    <xf numFmtId="0" fontId="28" fillId="0" borderId="0" xfId="0" applyFont="1"/>
    <xf numFmtId="0" fontId="32" fillId="0" borderId="3" xfId="0" applyFont="1" applyBorder="1" applyAlignment="1">
      <alignment horizontal="center" vertical="center" wrapText="1"/>
    </xf>
    <xf numFmtId="0" fontId="28" fillId="0" borderId="3" xfId="0" applyFont="1" applyBorder="1"/>
    <xf numFmtId="0" fontId="28" fillId="0" borderId="12" xfId="0" applyFont="1" applyBorder="1"/>
    <xf numFmtId="0" fontId="28" fillId="0" borderId="13" xfId="0" applyFont="1" applyBorder="1"/>
    <xf numFmtId="14" fontId="34" fillId="0" borderId="0" xfId="17" applyNumberFormat="1" applyFont="1"/>
    <xf numFmtId="0" fontId="4" fillId="0" borderId="0" xfId="2" applyAlignment="1">
      <alignment horizontal="center"/>
    </xf>
    <xf numFmtId="0" fontId="35" fillId="0" borderId="0" xfId="18" applyFill="1" applyAlignment="1" applyProtection="1"/>
    <xf numFmtId="0" fontId="4" fillId="0" borderId="0" xfId="6" applyAlignment="1">
      <alignment horizontal="center"/>
    </xf>
    <xf numFmtId="43" fontId="0" fillId="0" borderId="0" xfId="5" applyFont="1" applyFill="1"/>
    <xf numFmtId="0" fontId="16" fillId="0" borderId="3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 wrapText="1"/>
    </xf>
    <xf numFmtId="43" fontId="16" fillId="0" borderId="5" xfId="5" applyFont="1" applyFill="1" applyBorder="1" applyAlignment="1">
      <alignment horizontal="center" vertical="center"/>
    </xf>
    <xf numFmtId="0" fontId="15" fillId="0" borderId="0" xfId="6" applyFont="1"/>
    <xf numFmtId="43" fontId="15" fillId="0" borderId="0" xfId="5" applyFont="1" applyFill="1" applyAlignment="1">
      <alignment vertical="center"/>
    </xf>
    <xf numFmtId="43" fontId="36" fillId="0" borderId="14" xfId="5" applyFont="1" applyFill="1" applyBorder="1" applyAlignment="1">
      <alignment horizontal="center" vertical="center"/>
    </xf>
    <xf numFmtId="168" fontId="37" fillId="0" borderId="12" xfId="12" applyNumberFormat="1" applyFont="1" applyFill="1" applyBorder="1" applyAlignment="1">
      <alignment horizontal="center" vertical="center" wrapText="1"/>
    </xf>
    <xf numFmtId="0" fontId="15" fillId="0" borderId="3" xfId="6" applyFont="1" applyBorder="1" applyAlignment="1">
      <alignment horizontal="center"/>
    </xf>
    <xf numFmtId="0" fontId="38" fillId="0" borderId="3" xfId="6" applyFont="1" applyBorder="1"/>
    <xf numFmtId="0" fontId="39" fillId="0" borderId="3" xfId="6" applyFont="1" applyBorder="1"/>
    <xf numFmtId="0" fontId="39" fillId="0" borderId="3" xfId="6" applyFont="1" applyBorder="1" applyAlignment="1">
      <alignment horizontal="center"/>
    </xf>
    <xf numFmtId="168" fontId="15" fillId="0" borderId="3" xfId="5" applyNumberFormat="1" applyFont="1" applyFill="1" applyBorder="1" applyAlignment="1"/>
    <xf numFmtId="168" fontId="38" fillId="0" borderId="3" xfId="5" applyNumberFormat="1" applyFont="1" applyFill="1" applyBorder="1" applyAlignment="1"/>
    <xf numFmtId="168" fontId="15" fillId="0" borderId="3" xfId="5" applyNumberFormat="1" applyFont="1" applyFill="1" applyBorder="1"/>
    <xf numFmtId="0" fontId="40" fillId="0" borderId="0" xfId="6" applyFont="1"/>
    <xf numFmtId="0" fontId="38" fillId="0" borderId="3" xfId="6" applyFont="1" applyBorder="1" applyAlignment="1">
      <alignment horizontal="left"/>
    </xf>
    <xf numFmtId="0" fontId="4" fillId="0" borderId="0" xfId="6" applyAlignment="1">
      <alignment vertical="center"/>
    </xf>
    <xf numFmtId="43" fontId="16" fillId="0" borderId="5" xfId="5" applyFont="1" applyFill="1" applyBorder="1" applyAlignment="1">
      <alignment horizontal="center" vertical="center" wrapText="1"/>
    </xf>
    <xf numFmtId="0" fontId="100" fillId="0" borderId="0" xfId="19" applyFont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0" fontId="3" fillId="0" borderId="0" xfId="6" applyFont="1" applyAlignment="1">
      <alignment horizontal="center"/>
    </xf>
    <xf numFmtId="14" fontId="3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6" fillId="0" borderId="0" xfId="3" applyFont="1" applyAlignment="1" applyProtection="1">
      <alignment horizontal="center" vertical="center"/>
      <protection locked="0"/>
    </xf>
    <xf numFmtId="0" fontId="7" fillId="0" borderId="0" xfId="2" applyFont="1" applyAlignment="1">
      <alignment horizontal="right"/>
    </xf>
    <xf numFmtId="0" fontId="4" fillId="0" borderId="1" xfId="2" applyBorder="1" applyAlignment="1">
      <alignment horizontal="center"/>
    </xf>
    <xf numFmtId="0" fontId="21" fillId="0" borderId="0" xfId="9" applyFont="1" applyAlignment="1">
      <alignment horizontal="left"/>
    </xf>
    <xf numFmtId="0" fontId="8" fillId="0" borderId="3" xfId="3" applyFont="1" applyBorder="1" applyAlignment="1" applyProtection="1">
      <alignment horizontal="center"/>
      <protection locked="0"/>
    </xf>
    <xf numFmtId="0" fontId="25" fillId="0" borderId="0" xfId="3" applyFont="1" applyAlignment="1" applyProtection="1">
      <alignment horizontal="center" vertical="center"/>
      <protection locked="0"/>
    </xf>
    <xf numFmtId="0" fontId="15" fillId="0" borderId="1" xfId="2" applyFont="1" applyBorder="1" applyAlignment="1">
      <alignment horizontal="left"/>
    </xf>
    <xf numFmtId="0" fontId="7" fillId="0" borderId="0" xfId="3" quotePrefix="1" applyFont="1" applyAlignment="1" applyProtection="1">
      <alignment horizontal="right"/>
      <protection locked="0"/>
    </xf>
    <xf numFmtId="0" fontId="8" fillId="0" borderId="5" xfId="3" applyFont="1" applyBorder="1" applyAlignment="1" applyProtection="1">
      <alignment horizontal="center"/>
      <protection locked="0"/>
    </xf>
    <xf numFmtId="0" fontId="8" fillId="0" borderId="2" xfId="3" applyFont="1" applyBorder="1" applyAlignment="1" applyProtection="1">
      <alignment horizontal="center"/>
      <protection locked="0"/>
    </xf>
    <xf numFmtId="0" fontId="8" fillId="0" borderId="6" xfId="3" applyFont="1" applyBorder="1" applyAlignment="1" applyProtection="1">
      <alignment horizontal="center"/>
      <protection locked="0"/>
    </xf>
    <xf numFmtId="0" fontId="7" fillId="0" borderId="7" xfId="6" applyFont="1" applyBorder="1" applyAlignment="1">
      <alignment horizontal="right"/>
    </xf>
    <xf numFmtId="0" fontId="28" fillId="0" borderId="12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9" fillId="0" borderId="5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12" xfId="0" applyFont="1" applyBorder="1" applyAlignment="1">
      <alignment horizontal="center" wrapText="1"/>
    </xf>
    <xf numFmtId="0" fontId="28" fillId="0" borderId="13" xfId="0" applyFont="1" applyBorder="1" applyAlignment="1">
      <alignment horizontal="center" wrapText="1"/>
    </xf>
  </cellXfs>
  <cellStyles count="637">
    <cellStyle name="_x0001_" xfId="20" xr:uid="{00000000-0005-0000-0000-000000000000}"/>
    <cellStyle name="," xfId="21" xr:uid="{00000000-0005-0000-0000-000001000000}"/>
    <cellStyle name="." xfId="22" xr:uid="{00000000-0005-0000-0000-000002000000}"/>
    <cellStyle name="??" xfId="23" xr:uid="{00000000-0005-0000-0000-000003000000}"/>
    <cellStyle name="?? [0.00]_ Att. 1- Cover" xfId="24" xr:uid="{00000000-0005-0000-0000-000004000000}"/>
    <cellStyle name="?? [0]" xfId="25" xr:uid="{00000000-0005-0000-0000-000005000000}"/>
    <cellStyle name="???? [0.00]_List-dwg" xfId="26" xr:uid="{00000000-0005-0000-0000-000006000000}"/>
    <cellStyle name="???????_Elec-12 Fin" xfId="27" xr:uid="{00000000-0005-0000-0000-000007000000}"/>
    <cellStyle name="????_List-dwg" xfId="28" xr:uid="{00000000-0005-0000-0000-000008000000}"/>
    <cellStyle name="???[0]_Book1" xfId="29" xr:uid="{00000000-0005-0000-0000-000009000000}"/>
    <cellStyle name="???_95" xfId="30" xr:uid="{00000000-0005-0000-0000-00000A000000}"/>
    <cellStyle name="??[0]_BRE" xfId="31" xr:uid="{00000000-0005-0000-0000-00000B000000}"/>
    <cellStyle name="??_ ??? ???? " xfId="32" xr:uid="{00000000-0005-0000-0000-00000C000000}"/>
    <cellStyle name="?10" xfId="33" xr:uid="{00000000-0005-0000-0000-00000D000000}"/>
    <cellStyle name="?13" xfId="34" xr:uid="{00000000-0005-0000-0000-00000E000000}"/>
    <cellStyle name="_Book1" xfId="35" xr:uid="{00000000-0005-0000-0000-00000F000000}"/>
    <cellStyle name="_Book1_1" xfId="36" xr:uid="{00000000-0005-0000-0000-000010000000}"/>
    <cellStyle name="_Book1_BC-QT-WB-dthao" xfId="37" xr:uid="{00000000-0005-0000-0000-000011000000}"/>
    <cellStyle name="_Book1_DT truong thinh phu" xfId="38" xr:uid="{00000000-0005-0000-0000-000012000000}"/>
    <cellStyle name="_Book1_TH KHAI TOAN THU THIEM cac tuyen TT noi" xfId="39" xr:uid="{00000000-0005-0000-0000-000013000000}"/>
    <cellStyle name="_DT truong thinh phu" xfId="40" xr:uid="{00000000-0005-0000-0000-000014000000}"/>
    <cellStyle name="_KT (2)" xfId="41" xr:uid="{00000000-0005-0000-0000-000015000000}"/>
    <cellStyle name="_KT (2)_1" xfId="42" xr:uid="{00000000-0005-0000-0000-000016000000}"/>
    <cellStyle name="_KT (2)_1_Lora-tungchau" xfId="43" xr:uid="{00000000-0005-0000-0000-000017000000}"/>
    <cellStyle name="_KT (2)_1_Qt-HT3PQ1(CauKho)" xfId="44" xr:uid="{00000000-0005-0000-0000-000018000000}"/>
    <cellStyle name="_KT (2)_1_Qt-HT3PQ1(CauKho)_Book1" xfId="45" xr:uid="{00000000-0005-0000-0000-000019000000}"/>
    <cellStyle name="_KT (2)_1_Qt-HT3PQ1(CauKho)_Don gia quy 3 nam 2003 - Ban Dien Luc" xfId="46" xr:uid="{00000000-0005-0000-0000-00001A000000}"/>
    <cellStyle name="_KT (2)_1_Qt-HT3PQ1(CauKho)_NC-VL2-2003" xfId="47" xr:uid="{00000000-0005-0000-0000-00001B000000}"/>
    <cellStyle name="_KT (2)_1_Qt-HT3PQ1(CauKho)_NC-VL2-2003_1" xfId="48" xr:uid="{00000000-0005-0000-0000-00001C000000}"/>
    <cellStyle name="_KT (2)_1_Qt-HT3PQ1(CauKho)_XL4Test5" xfId="49" xr:uid="{00000000-0005-0000-0000-00001D000000}"/>
    <cellStyle name="_KT (2)_2" xfId="50" xr:uid="{00000000-0005-0000-0000-00001E000000}"/>
    <cellStyle name="_KT (2)_2_TG-TH" xfId="51" xr:uid="{00000000-0005-0000-0000-00001F000000}"/>
    <cellStyle name="_KT (2)_2_TG-TH_BAO CAO KLCT PT2000" xfId="52" xr:uid="{00000000-0005-0000-0000-000020000000}"/>
    <cellStyle name="_KT (2)_2_TG-TH_BAO CAO PT2000" xfId="53" xr:uid="{00000000-0005-0000-0000-000021000000}"/>
    <cellStyle name="_KT (2)_2_TG-TH_BAO CAO PT2000_Book1" xfId="54" xr:uid="{00000000-0005-0000-0000-000022000000}"/>
    <cellStyle name="_KT (2)_2_TG-TH_Bao cao XDCB 2001 - T11 KH dieu chinh 20-11-THAI" xfId="55" xr:uid="{00000000-0005-0000-0000-000023000000}"/>
    <cellStyle name="_KT (2)_2_TG-TH_Book1" xfId="56" xr:uid="{00000000-0005-0000-0000-000024000000}"/>
    <cellStyle name="_KT (2)_2_TG-TH_Book1_1" xfId="57" xr:uid="{00000000-0005-0000-0000-000025000000}"/>
    <cellStyle name="_KT (2)_2_TG-TH_Book1_1_DanhMucDonGiaVTTB_Dien_TAM" xfId="58" xr:uid="{00000000-0005-0000-0000-000026000000}"/>
    <cellStyle name="_KT (2)_2_TG-TH_Book1_2" xfId="59" xr:uid="{00000000-0005-0000-0000-000027000000}"/>
    <cellStyle name="_KT (2)_2_TG-TH_Book1_3" xfId="60" xr:uid="{00000000-0005-0000-0000-000028000000}"/>
    <cellStyle name="_KT (2)_2_TG-TH_Book1_3_DT truong thinh phu" xfId="61" xr:uid="{00000000-0005-0000-0000-000029000000}"/>
    <cellStyle name="_KT (2)_2_TG-TH_Book1_3_XL4Test5" xfId="62" xr:uid="{00000000-0005-0000-0000-00002A000000}"/>
    <cellStyle name="_KT (2)_2_TG-TH_Book1_DanhMucDonGiaVTTB_Dien_TAM" xfId="63" xr:uid="{00000000-0005-0000-0000-00002B000000}"/>
    <cellStyle name="_KT (2)_2_TG-TH_Dcdtoan-bcnckt " xfId="64" xr:uid="{00000000-0005-0000-0000-00002C000000}"/>
    <cellStyle name="_KT (2)_2_TG-TH_DN_MTP" xfId="65" xr:uid="{00000000-0005-0000-0000-00002D000000}"/>
    <cellStyle name="_KT (2)_2_TG-TH_Dongia2-2003" xfId="66" xr:uid="{00000000-0005-0000-0000-00002E000000}"/>
    <cellStyle name="_KT (2)_2_TG-TH_Dongia2-2003_DT truong thinh phu" xfId="67" xr:uid="{00000000-0005-0000-0000-00002F000000}"/>
    <cellStyle name="_KT (2)_2_TG-TH_DT truong thinh phu" xfId="68" xr:uid="{00000000-0005-0000-0000-000030000000}"/>
    <cellStyle name="_KT (2)_2_TG-TH_DTCDT MR.2N110.HOCMON.TDTOAN.CCUNG" xfId="69" xr:uid="{00000000-0005-0000-0000-000031000000}"/>
    <cellStyle name="_KT (2)_2_TG-TH_Lora-tungchau" xfId="70" xr:uid="{00000000-0005-0000-0000-000032000000}"/>
    <cellStyle name="_KT (2)_2_TG-TH_moi" xfId="71" xr:uid="{00000000-0005-0000-0000-000033000000}"/>
    <cellStyle name="_KT (2)_2_TG-TH_PGIA-phieu tham tra Kho bac" xfId="72" xr:uid="{00000000-0005-0000-0000-000034000000}"/>
    <cellStyle name="_KT (2)_2_TG-TH_PT02-02" xfId="73" xr:uid="{00000000-0005-0000-0000-000035000000}"/>
    <cellStyle name="_KT (2)_2_TG-TH_PT02-02_Book1" xfId="74" xr:uid="{00000000-0005-0000-0000-000036000000}"/>
    <cellStyle name="_KT (2)_2_TG-TH_PT02-03" xfId="75" xr:uid="{00000000-0005-0000-0000-000037000000}"/>
    <cellStyle name="_KT (2)_2_TG-TH_PT02-03_Book1" xfId="76" xr:uid="{00000000-0005-0000-0000-000038000000}"/>
    <cellStyle name="_KT (2)_2_TG-TH_Qt-HT3PQ1(CauKho)" xfId="77" xr:uid="{00000000-0005-0000-0000-000039000000}"/>
    <cellStyle name="_KT (2)_2_TG-TH_Qt-HT3PQ1(CauKho)_Book1" xfId="78" xr:uid="{00000000-0005-0000-0000-00003A000000}"/>
    <cellStyle name="_KT (2)_2_TG-TH_Qt-HT3PQ1(CauKho)_Don gia quy 3 nam 2003 - Ban Dien Luc" xfId="79" xr:uid="{00000000-0005-0000-0000-00003B000000}"/>
    <cellStyle name="_KT (2)_2_TG-TH_Qt-HT3PQ1(CauKho)_NC-VL2-2003" xfId="80" xr:uid="{00000000-0005-0000-0000-00003C000000}"/>
    <cellStyle name="_KT (2)_2_TG-TH_Qt-HT3PQ1(CauKho)_NC-VL2-2003_1" xfId="81" xr:uid="{00000000-0005-0000-0000-00003D000000}"/>
    <cellStyle name="_KT (2)_2_TG-TH_Qt-HT3PQ1(CauKho)_XL4Test5" xfId="82" xr:uid="{00000000-0005-0000-0000-00003E000000}"/>
    <cellStyle name="_KT (2)_2_TG-TH_Sheet2" xfId="83" xr:uid="{00000000-0005-0000-0000-00003F000000}"/>
    <cellStyle name="_KT (2)_2_TG-TH_TMinhTC2010" xfId="84" xr:uid="{00000000-0005-0000-0000-000040000000}"/>
    <cellStyle name="_KT (2)_2_TG-TH_XL4Poppy" xfId="85" xr:uid="{00000000-0005-0000-0000-000041000000}"/>
    <cellStyle name="_KT (2)_2_TG-TH_XL4Test5" xfId="86" xr:uid="{00000000-0005-0000-0000-000042000000}"/>
    <cellStyle name="_KT (2)_3" xfId="87" xr:uid="{00000000-0005-0000-0000-000043000000}"/>
    <cellStyle name="_KT (2)_3_TG-TH" xfId="88" xr:uid="{00000000-0005-0000-0000-000044000000}"/>
    <cellStyle name="_KT (2)_3_TG-TH_Book1" xfId="89" xr:uid="{00000000-0005-0000-0000-000045000000}"/>
    <cellStyle name="_KT (2)_3_TG-TH_Book1_BC-QT-WB-dthao" xfId="90" xr:uid="{00000000-0005-0000-0000-000046000000}"/>
    <cellStyle name="_KT (2)_3_TG-TH_Lora-tungchau" xfId="91" xr:uid="{00000000-0005-0000-0000-000047000000}"/>
    <cellStyle name="_KT (2)_3_TG-TH_PERSONAL" xfId="92" xr:uid="{00000000-0005-0000-0000-000048000000}"/>
    <cellStyle name="_KT (2)_3_TG-TH_PERSONAL_HTQ.8 GD1" xfId="93" xr:uid="{00000000-0005-0000-0000-000049000000}"/>
    <cellStyle name="_KT (2)_3_TG-TH_PERSONAL_HTQ.8 GD1_Book1" xfId="94" xr:uid="{00000000-0005-0000-0000-00004A000000}"/>
    <cellStyle name="_KT (2)_3_TG-TH_PERSONAL_HTQ.8 GD1_Don gia quy 3 nam 2003 - Ban Dien Luc" xfId="95" xr:uid="{00000000-0005-0000-0000-00004B000000}"/>
    <cellStyle name="_KT (2)_3_TG-TH_PERSONAL_HTQ.8 GD1_NC-VL2-2003" xfId="96" xr:uid="{00000000-0005-0000-0000-00004C000000}"/>
    <cellStyle name="_KT (2)_3_TG-TH_PERSONAL_HTQ.8 GD1_NC-VL2-2003_1" xfId="97" xr:uid="{00000000-0005-0000-0000-00004D000000}"/>
    <cellStyle name="_KT (2)_3_TG-TH_PERSONAL_HTQ.8 GD1_XL4Test5" xfId="98" xr:uid="{00000000-0005-0000-0000-00004E000000}"/>
    <cellStyle name="_KT (2)_3_TG-TH_PERSONAL_Tong hop KHCB 2001" xfId="99" xr:uid="{00000000-0005-0000-0000-00004F000000}"/>
    <cellStyle name="_KT (2)_3_TG-TH_Qt-HT3PQ1(CauKho)" xfId="100" xr:uid="{00000000-0005-0000-0000-000050000000}"/>
    <cellStyle name="_KT (2)_3_TG-TH_Qt-HT3PQ1(CauKho)_Book1" xfId="101" xr:uid="{00000000-0005-0000-0000-000051000000}"/>
    <cellStyle name="_KT (2)_3_TG-TH_Qt-HT3PQ1(CauKho)_Don gia quy 3 nam 2003 - Ban Dien Luc" xfId="102" xr:uid="{00000000-0005-0000-0000-000052000000}"/>
    <cellStyle name="_KT (2)_3_TG-TH_Qt-HT3PQ1(CauKho)_NC-VL2-2003" xfId="103" xr:uid="{00000000-0005-0000-0000-000053000000}"/>
    <cellStyle name="_KT (2)_3_TG-TH_Qt-HT3PQ1(CauKho)_NC-VL2-2003_1" xfId="104" xr:uid="{00000000-0005-0000-0000-000054000000}"/>
    <cellStyle name="_KT (2)_3_TG-TH_Qt-HT3PQ1(CauKho)_XL4Test5" xfId="105" xr:uid="{00000000-0005-0000-0000-000055000000}"/>
    <cellStyle name="_KT (2)_3_TG-TH_TMinhTC2010" xfId="106" xr:uid="{00000000-0005-0000-0000-000056000000}"/>
    <cellStyle name="_KT (2)_4" xfId="107" xr:uid="{00000000-0005-0000-0000-000057000000}"/>
    <cellStyle name="_KT (2)_4_BAO CAO KLCT PT2000" xfId="108" xr:uid="{00000000-0005-0000-0000-000058000000}"/>
    <cellStyle name="_KT (2)_4_BAO CAO PT2000" xfId="109" xr:uid="{00000000-0005-0000-0000-000059000000}"/>
    <cellStyle name="_KT (2)_4_BAO CAO PT2000_Book1" xfId="110" xr:uid="{00000000-0005-0000-0000-00005A000000}"/>
    <cellStyle name="_KT (2)_4_Bao cao XDCB 2001 - T11 KH dieu chinh 20-11-THAI" xfId="111" xr:uid="{00000000-0005-0000-0000-00005B000000}"/>
    <cellStyle name="_KT (2)_4_Book1" xfId="112" xr:uid="{00000000-0005-0000-0000-00005C000000}"/>
    <cellStyle name="_KT (2)_4_Book1_1" xfId="113" xr:uid="{00000000-0005-0000-0000-00005D000000}"/>
    <cellStyle name="_KT (2)_4_Book1_1_DanhMucDonGiaVTTB_Dien_TAM" xfId="114" xr:uid="{00000000-0005-0000-0000-00005E000000}"/>
    <cellStyle name="_KT (2)_4_Book1_2" xfId="115" xr:uid="{00000000-0005-0000-0000-00005F000000}"/>
    <cellStyle name="_KT (2)_4_Book1_3" xfId="116" xr:uid="{00000000-0005-0000-0000-000060000000}"/>
    <cellStyle name="_KT (2)_4_Book1_3_DT truong thinh phu" xfId="117" xr:uid="{00000000-0005-0000-0000-000061000000}"/>
    <cellStyle name="_KT (2)_4_Book1_3_XL4Test5" xfId="118" xr:uid="{00000000-0005-0000-0000-000062000000}"/>
    <cellStyle name="_KT (2)_4_Book1_DanhMucDonGiaVTTB_Dien_TAM" xfId="119" xr:uid="{00000000-0005-0000-0000-000063000000}"/>
    <cellStyle name="_KT (2)_4_Dcdtoan-bcnckt " xfId="120" xr:uid="{00000000-0005-0000-0000-000064000000}"/>
    <cellStyle name="_KT (2)_4_DN_MTP" xfId="121" xr:uid="{00000000-0005-0000-0000-000065000000}"/>
    <cellStyle name="_KT (2)_4_Dongia2-2003" xfId="122" xr:uid="{00000000-0005-0000-0000-000066000000}"/>
    <cellStyle name="_KT (2)_4_Dongia2-2003_DT truong thinh phu" xfId="123" xr:uid="{00000000-0005-0000-0000-000067000000}"/>
    <cellStyle name="_KT (2)_4_DT truong thinh phu" xfId="124" xr:uid="{00000000-0005-0000-0000-000068000000}"/>
    <cellStyle name="_KT (2)_4_DTCDT MR.2N110.HOCMON.TDTOAN.CCUNG" xfId="125" xr:uid="{00000000-0005-0000-0000-000069000000}"/>
    <cellStyle name="_KT (2)_4_Lora-tungchau" xfId="126" xr:uid="{00000000-0005-0000-0000-00006A000000}"/>
    <cellStyle name="_KT (2)_4_moi" xfId="127" xr:uid="{00000000-0005-0000-0000-00006B000000}"/>
    <cellStyle name="_KT (2)_4_PGIA-phieu tham tra Kho bac" xfId="128" xr:uid="{00000000-0005-0000-0000-00006C000000}"/>
    <cellStyle name="_KT (2)_4_PT02-02" xfId="129" xr:uid="{00000000-0005-0000-0000-00006D000000}"/>
    <cellStyle name="_KT (2)_4_PT02-02_Book1" xfId="130" xr:uid="{00000000-0005-0000-0000-00006E000000}"/>
    <cellStyle name="_KT (2)_4_PT02-03" xfId="131" xr:uid="{00000000-0005-0000-0000-00006F000000}"/>
    <cellStyle name="_KT (2)_4_PT02-03_Book1" xfId="132" xr:uid="{00000000-0005-0000-0000-000070000000}"/>
    <cellStyle name="_KT (2)_4_Qt-HT3PQ1(CauKho)" xfId="133" xr:uid="{00000000-0005-0000-0000-000071000000}"/>
    <cellStyle name="_KT (2)_4_Qt-HT3PQ1(CauKho)_Book1" xfId="134" xr:uid="{00000000-0005-0000-0000-000072000000}"/>
    <cellStyle name="_KT (2)_4_Qt-HT3PQ1(CauKho)_Don gia quy 3 nam 2003 - Ban Dien Luc" xfId="135" xr:uid="{00000000-0005-0000-0000-000073000000}"/>
    <cellStyle name="_KT (2)_4_Qt-HT3PQ1(CauKho)_NC-VL2-2003" xfId="136" xr:uid="{00000000-0005-0000-0000-000074000000}"/>
    <cellStyle name="_KT (2)_4_Qt-HT3PQ1(CauKho)_NC-VL2-2003_1" xfId="137" xr:uid="{00000000-0005-0000-0000-000075000000}"/>
    <cellStyle name="_KT (2)_4_Qt-HT3PQ1(CauKho)_XL4Test5" xfId="138" xr:uid="{00000000-0005-0000-0000-000076000000}"/>
    <cellStyle name="_KT (2)_4_Sheet2" xfId="139" xr:uid="{00000000-0005-0000-0000-000077000000}"/>
    <cellStyle name="_KT (2)_4_TG-TH" xfId="140" xr:uid="{00000000-0005-0000-0000-000078000000}"/>
    <cellStyle name="_KT (2)_4_TMinhTC2010" xfId="141" xr:uid="{00000000-0005-0000-0000-000079000000}"/>
    <cellStyle name="_KT (2)_4_XL4Poppy" xfId="142" xr:uid="{00000000-0005-0000-0000-00007A000000}"/>
    <cellStyle name="_KT (2)_4_XL4Test5" xfId="143" xr:uid="{00000000-0005-0000-0000-00007B000000}"/>
    <cellStyle name="_KT (2)_5" xfId="144" xr:uid="{00000000-0005-0000-0000-00007C000000}"/>
    <cellStyle name="_KT (2)_5_BAO CAO KLCT PT2000" xfId="145" xr:uid="{00000000-0005-0000-0000-00007D000000}"/>
    <cellStyle name="_KT (2)_5_BAO CAO PT2000" xfId="146" xr:uid="{00000000-0005-0000-0000-00007E000000}"/>
    <cellStyle name="_KT (2)_5_BAO CAO PT2000_Book1" xfId="147" xr:uid="{00000000-0005-0000-0000-00007F000000}"/>
    <cellStyle name="_KT (2)_5_Bao cao XDCB 2001 - T11 KH dieu chinh 20-11-THAI" xfId="148" xr:uid="{00000000-0005-0000-0000-000080000000}"/>
    <cellStyle name="_KT (2)_5_Book1" xfId="149" xr:uid="{00000000-0005-0000-0000-000081000000}"/>
    <cellStyle name="_KT (2)_5_Book1_1" xfId="150" xr:uid="{00000000-0005-0000-0000-000082000000}"/>
    <cellStyle name="_KT (2)_5_Book1_1_DanhMucDonGiaVTTB_Dien_TAM" xfId="151" xr:uid="{00000000-0005-0000-0000-000083000000}"/>
    <cellStyle name="_KT (2)_5_Book1_2" xfId="152" xr:uid="{00000000-0005-0000-0000-000084000000}"/>
    <cellStyle name="_KT (2)_5_Book1_3" xfId="153" xr:uid="{00000000-0005-0000-0000-000085000000}"/>
    <cellStyle name="_KT (2)_5_Book1_3_DT truong thinh phu" xfId="154" xr:uid="{00000000-0005-0000-0000-000086000000}"/>
    <cellStyle name="_KT (2)_5_Book1_3_XL4Test5" xfId="155" xr:uid="{00000000-0005-0000-0000-000087000000}"/>
    <cellStyle name="_KT (2)_5_Book1_BC-QT-WB-dthao" xfId="156" xr:uid="{00000000-0005-0000-0000-000088000000}"/>
    <cellStyle name="_KT (2)_5_Book1_DanhMucDonGiaVTTB_Dien_TAM" xfId="157" xr:uid="{00000000-0005-0000-0000-000089000000}"/>
    <cellStyle name="_KT (2)_5_Dcdtoan-bcnckt " xfId="158" xr:uid="{00000000-0005-0000-0000-00008A000000}"/>
    <cellStyle name="_KT (2)_5_DN_MTP" xfId="159" xr:uid="{00000000-0005-0000-0000-00008B000000}"/>
    <cellStyle name="_KT (2)_5_Dongia2-2003" xfId="160" xr:uid="{00000000-0005-0000-0000-00008C000000}"/>
    <cellStyle name="_KT (2)_5_Dongia2-2003_DT truong thinh phu" xfId="161" xr:uid="{00000000-0005-0000-0000-00008D000000}"/>
    <cellStyle name="_KT (2)_5_DT truong thinh phu" xfId="162" xr:uid="{00000000-0005-0000-0000-00008E000000}"/>
    <cellStyle name="_KT (2)_5_DTCDT MR.2N110.HOCMON.TDTOAN.CCUNG" xfId="163" xr:uid="{00000000-0005-0000-0000-00008F000000}"/>
    <cellStyle name="_KT (2)_5_Lora-tungchau" xfId="164" xr:uid="{00000000-0005-0000-0000-000090000000}"/>
    <cellStyle name="_KT (2)_5_moi" xfId="165" xr:uid="{00000000-0005-0000-0000-000091000000}"/>
    <cellStyle name="_KT (2)_5_PGIA-phieu tham tra Kho bac" xfId="166" xr:uid="{00000000-0005-0000-0000-000092000000}"/>
    <cellStyle name="_KT (2)_5_PT02-02" xfId="167" xr:uid="{00000000-0005-0000-0000-000093000000}"/>
    <cellStyle name="_KT (2)_5_PT02-02_Book1" xfId="168" xr:uid="{00000000-0005-0000-0000-000094000000}"/>
    <cellStyle name="_KT (2)_5_PT02-03" xfId="169" xr:uid="{00000000-0005-0000-0000-000095000000}"/>
    <cellStyle name="_KT (2)_5_PT02-03_Book1" xfId="170" xr:uid="{00000000-0005-0000-0000-000096000000}"/>
    <cellStyle name="_KT (2)_5_Qt-HT3PQ1(CauKho)" xfId="171" xr:uid="{00000000-0005-0000-0000-000097000000}"/>
    <cellStyle name="_KT (2)_5_Qt-HT3PQ1(CauKho)_Book1" xfId="172" xr:uid="{00000000-0005-0000-0000-000098000000}"/>
    <cellStyle name="_KT (2)_5_Qt-HT3PQ1(CauKho)_Don gia quy 3 nam 2003 - Ban Dien Luc" xfId="173" xr:uid="{00000000-0005-0000-0000-000099000000}"/>
    <cellStyle name="_KT (2)_5_Qt-HT3PQ1(CauKho)_NC-VL2-2003" xfId="174" xr:uid="{00000000-0005-0000-0000-00009A000000}"/>
    <cellStyle name="_KT (2)_5_Qt-HT3PQ1(CauKho)_NC-VL2-2003_1" xfId="175" xr:uid="{00000000-0005-0000-0000-00009B000000}"/>
    <cellStyle name="_KT (2)_5_Qt-HT3PQ1(CauKho)_XL4Test5" xfId="176" xr:uid="{00000000-0005-0000-0000-00009C000000}"/>
    <cellStyle name="_KT (2)_5_Sheet2" xfId="177" xr:uid="{00000000-0005-0000-0000-00009D000000}"/>
    <cellStyle name="_KT (2)_5_TMinhTC2010" xfId="178" xr:uid="{00000000-0005-0000-0000-00009E000000}"/>
    <cellStyle name="_KT (2)_5_XL4Poppy" xfId="179" xr:uid="{00000000-0005-0000-0000-00009F000000}"/>
    <cellStyle name="_KT (2)_5_XL4Test5" xfId="180" xr:uid="{00000000-0005-0000-0000-0000A0000000}"/>
    <cellStyle name="_KT (2)_Book1" xfId="181" xr:uid="{00000000-0005-0000-0000-0000A1000000}"/>
    <cellStyle name="_KT (2)_Book1_BC-QT-WB-dthao" xfId="182" xr:uid="{00000000-0005-0000-0000-0000A2000000}"/>
    <cellStyle name="_KT (2)_Lora-tungchau" xfId="183" xr:uid="{00000000-0005-0000-0000-0000A3000000}"/>
    <cellStyle name="_KT (2)_PERSONAL" xfId="184" xr:uid="{00000000-0005-0000-0000-0000A4000000}"/>
    <cellStyle name="_KT (2)_PERSONAL_HTQ.8 GD1" xfId="185" xr:uid="{00000000-0005-0000-0000-0000A5000000}"/>
    <cellStyle name="_KT (2)_PERSONAL_HTQ.8 GD1_Book1" xfId="186" xr:uid="{00000000-0005-0000-0000-0000A6000000}"/>
    <cellStyle name="_KT (2)_PERSONAL_HTQ.8 GD1_Don gia quy 3 nam 2003 - Ban Dien Luc" xfId="187" xr:uid="{00000000-0005-0000-0000-0000A7000000}"/>
    <cellStyle name="_KT (2)_PERSONAL_HTQ.8 GD1_NC-VL2-2003" xfId="188" xr:uid="{00000000-0005-0000-0000-0000A8000000}"/>
    <cellStyle name="_KT (2)_PERSONAL_HTQ.8 GD1_NC-VL2-2003_1" xfId="189" xr:uid="{00000000-0005-0000-0000-0000A9000000}"/>
    <cellStyle name="_KT (2)_PERSONAL_HTQ.8 GD1_XL4Test5" xfId="190" xr:uid="{00000000-0005-0000-0000-0000AA000000}"/>
    <cellStyle name="_KT (2)_PERSONAL_Tong hop KHCB 2001" xfId="191" xr:uid="{00000000-0005-0000-0000-0000AB000000}"/>
    <cellStyle name="_KT (2)_Qt-HT3PQ1(CauKho)" xfId="192" xr:uid="{00000000-0005-0000-0000-0000AC000000}"/>
    <cellStyle name="_KT (2)_Qt-HT3PQ1(CauKho)_Book1" xfId="193" xr:uid="{00000000-0005-0000-0000-0000AD000000}"/>
    <cellStyle name="_KT (2)_Qt-HT3PQ1(CauKho)_Don gia quy 3 nam 2003 - Ban Dien Luc" xfId="194" xr:uid="{00000000-0005-0000-0000-0000AE000000}"/>
    <cellStyle name="_KT (2)_Qt-HT3PQ1(CauKho)_NC-VL2-2003" xfId="195" xr:uid="{00000000-0005-0000-0000-0000AF000000}"/>
    <cellStyle name="_KT (2)_Qt-HT3PQ1(CauKho)_NC-VL2-2003_1" xfId="196" xr:uid="{00000000-0005-0000-0000-0000B0000000}"/>
    <cellStyle name="_KT (2)_Qt-HT3PQ1(CauKho)_XL4Test5" xfId="197" xr:uid="{00000000-0005-0000-0000-0000B1000000}"/>
    <cellStyle name="_KT (2)_TG-TH" xfId="198" xr:uid="{00000000-0005-0000-0000-0000B2000000}"/>
    <cellStyle name="_KT (2)_TMinhTC2010" xfId="199" xr:uid="{00000000-0005-0000-0000-0000B3000000}"/>
    <cellStyle name="_KT_TG" xfId="200" xr:uid="{00000000-0005-0000-0000-0000B4000000}"/>
    <cellStyle name="_KT_TG_1" xfId="201" xr:uid="{00000000-0005-0000-0000-0000B5000000}"/>
    <cellStyle name="_KT_TG_1_BAO CAO KLCT PT2000" xfId="202" xr:uid="{00000000-0005-0000-0000-0000B6000000}"/>
    <cellStyle name="_KT_TG_1_BAO CAO PT2000" xfId="203" xr:uid="{00000000-0005-0000-0000-0000B7000000}"/>
    <cellStyle name="_KT_TG_1_BAO CAO PT2000_Book1" xfId="204" xr:uid="{00000000-0005-0000-0000-0000B8000000}"/>
    <cellStyle name="_KT_TG_1_Bao cao XDCB 2001 - T11 KH dieu chinh 20-11-THAI" xfId="205" xr:uid="{00000000-0005-0000-0000-0000B9000000}"/>
    <cellStyle name="_KT_TG_1_Book1" xfId="206" xr:uid="{00000000-0005-0000-0000-0000BA000000}"/>
    <cellStyle name="_KT_TG_1_Book1_1" xfId="207" xr:uid="{00000000-0005-0000-0000-0000BB000000}"/>
    <cellStyle name="_KT_TG_1_Book1_1_DanhMucDonGiaVTTB_Dien_TAM" xfId="208" xr:uid="{00000000-0005-0000-0000-0000BC000000}"/>
    <cellStyle name="_KT_TG_1_Book1_2" xfId="209" xr:uid="{00000000-0005-0000-0000-0000BD000000}"/>
    <cellStyle name="_KT_TG_1_Book1_3" xfId="210" xr:uid="{00000000-0005-0000-0000-0000BE000000}"/>
    <cellStyle name="_KT_TG_1_Book1_3_DT truong thinh phu" xfId="211" xr:uid="{00000000-0005-0000-0000-0000BF000000}"/>
    <cellStyle name="_KT_TG_1_Book1_3_XL4Test5" xfId="212" xr:uid="{00000000-0005-0000-0000-0000C0000000}"/>
    <cellStyle name="_KT_TG_1_Book1_BC-QT-WB-dthao" xfId="213" xr:uid="{00000000-0005-0000-0000-0000C1000000}"/>
    <cellStyle name="_KT_TG_1_Book1_DanhMucDonGiaVTTB_Dien_TAM" xfId="214" xr:uid="{00000000-0005-0000-0000-0000C2000000}"/>
    <cellStyle name="_KT_TG_1_Dcdtoan-bcnckt " xfId="215" xr:uid="{00000000-0005-0000-0000-0000C3000000}"/>
    <cellStyle name="_KT_TG_1_DN_MTP" xfId="216" xr:uid="{00000000-0005-0000-0000-0000C4000000}"/>
    <cellStyle name="_KT_TG_1_Dongia2-2003" xfId="217" xr:uid="{00000000-0005-0000-0000-0000C5000000}"/>
    <cellStyle name="_KT_TG_1_Dongia2-2003_DT truong thinh phu" xfId="218" xr:uid="{00000000-0005-0000-0000-0000C6000000}"/>
    <cellStyle name="_KT_TG_1_DT truong thinh phu" xfId="219" xr:uid="{00000000-0005-0000-0000-0000C7000000}"/>
    <cellStyle name="_KT_TG_1_DTCDT MR.2N110.HOCMON.TDTOAN.CCUNG" xfId="220" xr:uid="{00000000-0005-0000-0000-0000C8000000}"/>
    <cellStyle name="_KT_TG_1_Lora-tungchau" xfId="221" xr:uid="{00000000-0005-0000-0000-0000C9000000}"/>
    <cellStyle name="_KT_TG_1_moi" xfId="222" xr:uid="{00000000-0005-0000-0000-0000CA000000}"/>
    <cellStyle name="_KT_TG_1_PGIA-phieu tham tra Kho bac" xfId="223" xr:uid="{00000000-0005-0000-0000-0000CB000000}"/>
    <cellStyle name="_KT_TG_1_PT02-02" xfId="224" xr:uid="{00000000-0005-0000-0000-0000CC000000}"/>
    <cellStyle name="_KT_TG_1_PT02-02_Book1" xfId="225" xr:uid="{00000000-0005-0000-0000-0000CD000000}"/>
    <cellStyle name="_KT_TG_1_PT02-03" xfId="226" xr:uid="{00000000-0005-0000-0000-0000CE000000}"/>
    <cellStyle name="_KT_TG_1_PT02-03_Book1" xfId="227" xr:uid="{00000000-0005-0000-0000-0000CF000000}"/>
    <cellStyle name="_KT_TG_1_Qt-HT3PQ1(CauKho)" xfId="228" xr:uid="{00000000-0005-0000-0000-0000D0000000}"/>
    <cellStyle name="_KT_TG_1_Qt-HT3PQ1(CauKho)_Book1" xfId="229" xr:uid="{00000000-0005-0000-0000-0000D1000000}"/>
    <cellStyle name="_KT_TG_1_Qt-HT3PQ1(CauKho)_Don gia quy 3 nam 2003 - Ban Dien Luc" xfId="230" xr:uid="{00000000-0005-0000-0000-0000D2000000}"/>
    <cellStyle name="_KT_TG_1_Qt-HT3PQ1(CauKho)_NC-VL2-2003" xfId="231" xr:uid="{00000000-0005-0000-0000-0000D3000000}"/>
    <cellStyle name="_KT_TG_1_Qt-HT3PQ1(CauKho)_NC-VL2-2003_1" xfId="232" xr:uid="{00000000-0005-0000-0000-0000D4000000}"/>
    <cellStyle name="_KT_TG_1_Qt-HT3PQ1(CauKho)_XL4Test5" xfId="233" xr:uid="{00000000-0005-0000-0000-0000D5000000}"/>
    <cellStyle name="_KT_TG_1_Sheet2" xfId="234" xr:uid="{00000000-0005-0000-0000-0000D6000000}"/>
    <cellStyle name="_KT_TG_1_TMinhTC2010" xfId="235" xr:uid="{00000000-0005-0000-0000-0000D7000000}"/>
    <cellStyle name="_KT_TG_1_XL4Poppy" xfId="236" xr:uid="{00000000-0005-0000-0000-0000D8000000}"/>
    <cellStyle name="_KT_TG_1_XL4Test5" xfId="237" xr:uid="{00000000-0005-0000-0000-0000D9000000}"/>
    <cellStyle name="_KT_TG_2" xfId="238" xr:uid="{00000000-0005-0000-0000-0000DA000000}"/>
    <cellStyle name="_KT_TG_2_BAO CAO KLCT PT2000" xfId="239" xr:uid="{00000000-0005-0000-0000-0000DB000000}"/>
    <cellStyle name="_KT_TG_2_BAO CAO PT2000" xfId="240" xr:uid="{00000000-0005-0000-0000-0000DC000000}"/>
    <cellStyle name="_KT_TG_2_BAO CAO PT2000_Book1" xfId="241" xr:uid="{00000000-0005-0000-0000-0000DD000000}"/>
    <cellStyle name="_KT_TG_2_Bao cao XDCB 2001 - T11 KH dieu chinh 20-11-THAI" xfId="242" xr:uid="{00000000-0005-0000-0000-0000DE000000}"/>
    <cellStyle name="_KT_TG_2_Book1" xfId="243" xr:uid="{00000000-0005-0000-0000-0000DF000000}"/>
    <cellStyle name="_KT_TG_2_Book1_1" xfId="244" xr:uid="{00000000-0005-0000-0000-0000E0000000}"/>
    <cellStyle name="_KT_TG_2_Book1_1_DanhMucDonGiaVTTB_Dien_TAM" xfId="245" xr:uid="{00000000-0005-0000-0000-0000E1000000}"/>
    <cellStyle name="_KT_TG_2_Book1_2" xfId="246" xr:uid="{00000000-0005-0000-0000-0000E2000000}"/>
    <cellStyle name="_KT_TG_2_Book1_3" xfId="247" xr:uid="{00000000-0005-0000-0000-0000E3000000}"/>
    <cellStyle name="_KT_TG_2_Book1_3_DT truong thinh phu" xfId="248" xr:uid="{00000000-0005-0000-0000-0000E4000000}"/>
    <cellStyle name="_KT_TG_2_Book1_3_XL4Test5" xfId="249" xr:uid="{00000000-0005-0000-0000-0000E5000000}"/>
    <cellStyle name="_KT_TG_2_Book1_DanhMucDonGiaVTTB_Dien_TAM" xfId="250" xr:uid="{00000000-0005-0000-0000-0000E6000000}"/>
    <cellStyle name="_KT_TG_2_Dcdtoan-bcnckt " xfId="251" xr:uid="{00000000-0005-0000-0000-0000E7000000}"/>
    <cellStyle name="_KT_TG_2_DN_MTP" xfId="252" xr:uid="{00000000-0005-0000-0000-0000E8000000}"/>
    <cellStyle name="_KT_TG_2_Dongia2-2003" xfId="253" xr:uid="{00000000-0005-0000-0000-0000E9000000}"/>
    <cellStyle name="_KT_TG_2_Dongia2-2003_DT truong thinh phu" xfId="254" xr:uid="{00000000-0005-0000-0000-0000EA000000}"/>
    <cellStyle name="_KT_TG_2_DT truong thinh phu" xfId="255" xr:uid="{00000000-0005-0000-0000-0000EB000000}"/>
    <cellStyle name="_KT_TG_2_DTCDT MR.2N110.HOCMON.TDTOAN.CCUNG" xfId="256" xr:uid="{00000000-0005-0000-0000-0000EC000000}"/>
    <cellStyle name="_KT_TG_2_Lora-tungchau" xfId="257" xr:uid="{00000000-0005-0000-0000-0000ED000000}"/>
    <cellStyle name="_KT_TG_2_moi" xfId="258" xr:uid="{00000000-0005-0000-0000-0000EE000000}"/>
    <cellStyle name="_KT_TG_2_PGIA-phieu tham tra Kho bac" xfId="259" xr:uid="{00000000-0005-0000-0000-0000EF000000}"/>
    <cellStyle name="_KT_TG_2_PT02-02" xfId="260" xr:uid="{00000000-0005-0000-0000-0000F0000000}"/>
    <cellStyle name="_KT_TG_2_PT02-02_Book1" xfId="261" xr:uid="{00000000-0005-0000-0000-0000F1000000}"/>
    <cellStyle name="_KT_TG_2_PT02-03" xfId="262" xr:uid="{00000000-0005-0000-0000-0000F2000000}"/>
    <cellStyle name="_KT_TG_2_PT02-03_Book1" xfId="263" xr:uid="{00000000-0005-0000-0000-0000F3000000}"/>
    <cellStyle name="_KT_TG_2_Qt-HT3PQ1(CauKho)" xfId="264" xr:uid="{00000000-0005-0000-0000-0000F4000000}"/>
    <cellStyle name="_KT_TG_2_Qt-HT3PQ1(CauKho)_Book1" xfId="265" xr:uid="{00000000-0005-0000-0000-0000F5000000}"/>
    <cellStyle name="_KT_TG_2_Qt-HT3PQ1(CauKho)_Don gia quy 3 nam 2003 - Ban Dien Luc" xfId="266" xr:uid="{00000000-0005-0000-0000-0000F6000000}"/>
    <cellStyle name="_KT_TG_2_Qt-HT3PQ1(CauKho)_NC-VL2-2003" xfId="267" xr:uid="{00000000-0005-0000-0000-0000F7000000}"/>
    <cellStyle name="_KT_TG_2_Qt-HT3PQ1(CauKho)_NC-VL2-2003_1" xfId="268" xr:uid="{00000000-0005-0000-0000-0000F8000000}"/>
    <cellStyle name="_KT_TG_2_Qt-HT3PQ1(CauKho)_XL4Test5" xfId="269" xr:uid="{00000000-0005-0000-0000-0000F9000000}"/>
    <cellStyle name="_KT_TG_2_Sheet2" xfId="270" xr:uid="{00000000-0005-0000-0000-0000FA000000}"/>
    <cellStyle name="_KT_TG_2_TMinhTC2010" xfId="271" xr:uid="{00000000-0005-0000-0000-0000FB000000}"/>
    <cellStyle name="_KT_TG_2_XL4Poppy" xfId="272" xr:uid="{00000000-0005-0000-0000-0000FC000000}"/>
    <cellStyle name="_KT_TG_2_XL4Test5" xfId="273" xr:uid="{00000000-0005-0000-0000-0000FD000000}"/>
    <cellStyle name="_KT_TG_3" xfId="274" xr:uid="{00000000-0005-0000-0000-0000FE000000}"/>
    <cellStyle name="_KT_TG_4" xfId="275" xr:uid="{00000000-0005-0000-0000-0000FF000000}"/>
    <cellStyle name="_KT_TG_4_Lora-tungchau" xfId="276" xr:uid="{00000000-0005-0000-0000-000000010000}"/>
    <cellStyle name="_KT_TG_4_Qt-HT3PQ1(CauKho)" xfId="277" xr:uid="{00000000-0005-0000-0000-000001010000}"/>
    <cellStyle name="_KT_TG_4_Qt-HT3PQ1(CauKho)_Book1" xfId="278" xr:uid="{00000000-0005-0000-0000-000002010000}"/>
    <cellStyle name="_KT_TG_4_Qt-HT3PQ1(CauKho)_Don gia quy 3 nam 2003 - Ban Dien Luc" xfId="279" xr:uid="{00000000-0005-0000-0000-000003010000}"/>
    <cellStyle name="_KT_TG_4_Qt-HT3PQ1(CauKho)_NC-VL2-2003" xfId="280" xr:uid="{00000000-0005-0000-0000-000004010000}"/>
    <cellStyle name="_KT_TG_4_Qt-HT3PQ1(CauKho)_NC-VL2-2003_1" xfId="281" xr:uid="{00000000-0005-0000-0000-000005010000}"/>
    <cellStyle name="_KT_TG_4_Qt-HT3PQ1(CauKho)_XL4Test5" xfId="282" xr:uid="{00000000-0005-0000-0000-000006010000}"/>
    <cellStyle name="_Lora-tungchau" xfId="283" xr:uid="{00000000-0005-0000-0000-000007010000}"/>
    <cellStyle name="_PERSONAL" xfId="284" xr:uid="{00000000-0005-0000-0000-000008010000}"/>
    <cellStyle name="_PERSONAL_HTQ.8 GD1" xfId="285" xr:uid="{00000000-0005-0000-0000-000009010000}"/>
    <cellStyle name="_PERSONAL_HTQ.8 GD1_Book1" xfId="286" xr:uid="{00000000-0005-0000-0000-00000A010000}"/>
    <cellStyle name="_PERSONAL_HTQ.8 GD1_Don gia quy 3 nam 2003 - Ban Dien Luc" xfId="287" xr:uid="{00000000-0005-0000-0000-00000B010000}"/>
    <cellStyle name="_PERSONAL_HTQ.8 GD1_NC-VL2-2003" xfId="288" xr:uid="{00000000-0005-0000-0000-00000C010000}"/>
    <cellStyle name="_PERSONAL_HTQ.8 GD1_NC-VL2-2003_1" xfId="289" xr:uid="{00000000-0005-0000-0000-00000D010000}"/>
    <cellStyle name="_PERSONAL_HTQ.8 GD1_XL4Test5" xfId="290" xr:uid="{00000000-0005-0000-0000-00000E010000}"/>
    <cellStyle name="_PERSONAL_Tong hop KHCB 2001" xfId="291" xr:uid="{00000000-0005-0000-0000-00000F010000}"/>
    <cellStyle name="_Qt-HT3PQ1(CauKho)" xfId="292" xr:uid="{00000000-0005-0000-0000-000010010000}"/>
    <cellStyle name="_Qt-HT3PQ1(CauKho)_Book1" xfId="293" xr:uid="{00000000-0005-0000-0000-000011010000}"/>
    <cellStyle name="_Qt-HT3PQ1(CauKho)_Don gia quy 3 nam 2003 - Ban Dien Luc" xfId="294" xr:uid="{00000000-0005-0000-0000-000012010000}"/>
    <cellStyle name="_Qt-HT3PQ1(CauKho)_NC-VL2-2003" xfId="295" xr:uid="{00000000-0005-0000-0000-000013010000}"/>
    <cellStyle name="_Qt-HT3PQ1(CauKho)_NC-VL2-2003_1" xfId="296" xr:uid="{00000000-0005-0000-0000-000014010000}"/>
    <cellStyle name="_Qt-HT3PQ1(CauKho)_XL4Test5" xfId="297" xr:uid="{00000000-0005-0000-0000-000015010000}"/>
    <cellStyle name="_TG-TH" xfId="298" xr:uid="{00000000-0005-0000-0000-000016010000}"/>
    <cellStyle name="_TG-TH_1" xfId="299" xr:uid="{00000000-0005-0000-0000-000017010000}"/>
    <cellStyle name="_TG-TH_1_BAO CAO KLCT PT2000" xfId="300" xr:uid="{00000000-0005-0000-0000-000018010000}"/>
    <cellStyle name="_TG-TH_1_BAO CAO PT2000" xfId="301" xr:uid="{00000000-0005-0000-0000-000019010000}"/>
    <cellStyle name="_TG-TH_1_BAO CAO PT2000_Book1" xfId="302" xr:uid="{00000000-0005-0000-0000-00001A010000}"/>
    <cellStyle name="_TG-TH_1_Bao cao XDCB 2001 - T11 KH dieu chinh 20-11-THAI" xfId="303" xr:uid="{00000000-0005-0000-0000-00001B010000}"/>
    <cellStyle name="_TG-TH_1_Book1" xfId="304" xr:uid="{00000000-0005-0000-0000-00001C010000}"/>
    <cellStyle name="_TG-TH_1_Book1_1" xfId="305" xr:uid="{00000000-0005-0000-0000-00001D010000}"/>
    <cellStyle name="_TG-TH_1_Book1_1_DanhMucDonGiaVTTB_Dien_TAM" xfId="306" xr:uid="{00000000-0005-0000-0000-00001E010000}"/>
    <cellStyle name="_TG-TH_1_Book1_2" xfId="307" xr:uid="{00000000-0005-0000-0000-00001F010000}"/>
    <cellStyle name="_TG-TH_1_Book1_3" xfId="308" xr:uid="{00000000-0005-0000-0000-000020010000}"/>
    <cellStyle name="_TG-TH_1_Book1_3_DT truong thinh phu" xfId="309" xr:uid="{00000000-0005-0000-0000-000021010000}"/>
    <cellStyle name="_TG-TH_1_Book1_3_XL4Test5" xfId="310" xr:uid="{00000000-0005-0000-0000-000022010000}"/>
    <cellStyle name="_TG-TH_1_Book1_BC-QT-WB-dthao" xfId="311" xr:uid="{00000000-0005-0000-0000-000023010000}"/>
    <cellStyle name="_TG-TH_1_Book1_DanhMucDonGiaVTTB_Dien_TAM" xfId="312" xr:uid="{00000000-0005-0000-0000-000024010000}"/>
    <cellStyle name="_TG-TH_1_Dcdtoan-bcnckt " xfId="313" xr:uid="{00000000-0005-0000-0000-000025010000}"/>
    <cellStyle name="_TG-TH_1_DN_MTP" xfId="314" xr:uid="{00000000-0005-0000-0000-000026010000}"/>
    <cellStyle name="_TG-TH_1_Dongia2-2003" xfId="315" xr:uid="{00000000-0005-0000-0000-000027010000}"/>
    <cellStyle name="_TG-TH_1_Dongia2-2003_DT truong thinh phu" xfId="316" xr:uid="{00000000-0005-0000-0000-000028010000}"/>
    <cellStyle name="_TG-TH_1_DT truong thinh phu" xfId="317" xr:uid="{00000000-0005-0000-0000-000029010000}"/>
    <cellStyle name="_TG-TH_1_DTCDT MR.2N110.HOCMON.TDTOAN.CCUNG" xfId="318" xr:uid="{00000000-0005-0000-0000-00002A010000}"/>
    <cellStyle name="_TG-TH_1_Lora-tungchau" xfId="319" xr:uid="{00000000-0005-0000-0000-00002B010000}"/>
    <cellStyle name="_TG-TH_1_moi" xfId="320" xr:uid="{00000000-0005-0000-0000-00002C010000}"/>
    <cellStyle name="_TG-TH_1_PGIA-phieu tham tra Kho bac" xfId="321" xr:uid="{00000000-0005-0000-0000-00002D010000}"/>
    <cellStyle name="_TG-TH_1_PT02-02" xfId="322" xr:uid="{00000000-0005-0000-0000-00002E010000}"/>
    <cellStyle name="_TG-TH_1_PT02-02_Book1" xfId="323" xr:uid="{00000000-0005-0000-0000-00002F010000}"/>
    <cellStyle name="_TG-TH_1_PT02-03_Book1" xfId="324" xr:uid="{00000000-0005-0000-0000-000030010000}"/>
    <cellStyle name="_TG-TH_1_Qt-HT3PQ1(CauKho)" xfId="325" xr:uid="{00000000-0005-0000-0000-000031010000}"/>
    <cellStyle name="_TG-TH_1_Qt-HT3PQ1(CauKho)_Book1" xfId="326" xr:uid="{00000000-0005-0000-0000-000032010000}"/>
    <cellStyle name="_TG-TH_1_Qt-HT3PQ1(CauKho)_Don gia quy 3 nam 2003 - Ban Dien Luc" xfId="327" xr:uid="{00000000-0005-0000-0000-000033010000}"/>
    <cellStyle name="_TG-TH_1_Qt-HT3PQ1(CauKho)_NC-VL2-2003" xfId="328" xr:uid="{00000000-0005-0000-0000-000034010000}"/>
    <cellStyle name="_TG-TH_1_Qt-HT3PQ1(CauKho)_NC-VL2-2003_1" xfId="329" xr:uid="{00000000-0005-0000-0000-000035010000}"/>
    <cellStyle name="_TG-TH_1_Qt-HT3PQ1(CauKho)_XL4Test5" xfId="330" xr:uid="{00000000-0005-0000-0000-000036010000}"/>
    <cellStyle name="_TG-TH_1_Sheet2" xfId="331" xr:uid="{00000000-0005-0000-0000-000037010000}"/>
    <cellStyle name="_TG-TH_1_TMinhTC2010" xfId="332" xr:uid="{00000000-0005-0000-0000-000038010000}"/>
    <cellStyle name="_TG-TH_1_XL4Poppy" xfId="333" xr:uid="{00000000-0005-0000-0000-000039010000}"/>
    <cellStyle name="_TG-TH_1_XL4Test5" xfId="334" xr:uid="{00000000-0005-0000-0000-00003A010000}"/>
    <cellStyle name="_TG-TH_2" xfId="335" xr:uid="{00000000-0005-0000-0000-00003B010000}"/>
    <cellStyle name="_TG-TH_2_BAO CAO KLCT PT2000" xfId="336" xr:uid="{00000000-0005-0000-0000-00003C010000}"/>
    <cellStyle name="_TG-TH_2_BAO CAO PT2000" xfId="337" xr:uid="{00000000-0005-0000-0000-00003D010000}"/>
    <cellStyle name="_TG-TH_2_BAO CAO PT2000_Book1" xfId="338" xr:uid="{00000000-0005-0000-0000-00003E010000}"/>
    <cellStyle name="_TG-TH_2_Bao cao XDCB 2001 - T11 KH dieu chinh 20-11-THAI" xfId="339" xr:uid="{00000000-0005-0000-0000-00003F010000}"/>
    <cellStyle name="_TG-TH_2_Book1" xfId="340" xr:uid="{00000000-0005-0000-0000-000040010000}"/>
    <cellStyle name="_TG-TH_2_Book1_1" xfId="341" xr:uid="{00000000-0005-0000-0000-000041010000}"/>
    <cellStyle name="_TG-TH_2_Book1_1_DanhMucDonGiaVTTB_Dien_TAM" xfId="342" xr:uid="{00000000-0005-0000-0000-000042010000}"/>
    <cellStyle name="_TG-TH_2_Book1_2" xfId="343" xr:uid="{00000000-0005-0000-0000-000043010000}"/>
    <cellStyle name="_TG-TH_2_Book1_3" xfId="344" xr:uid="{00000000-0005-0000-0000-000044010000}"/>
    <cellStyle name="_TG-TH_2_Book1_3_DT truong thinh phu" xfId="345" xr:uid="{00000000-0005-0000-0000-000045010000}"/>
    <cellStyle name="_TG-TH_2_Book1_3_XL4Test5" xfId="346" xr:uid="{00000000-0005-0000-0000-000046010000}"/>
    <cellStyle name="_TG-TH_2_Book1_DanhMucDonGiaVTTB_Dien_TAM" xfId="347" xr:uid="{00000000-0005-0000-0000-000047010000}"/>
    <cellStyle name="_TG-TH_2_Dcdtoan-bcnckt " xfId="348" xr:uid="{00000000-0005-0000-0000-000048010000}"/>
    <cellStyle name="_TG-TH_2_DN_MTP" xfId="349" xr:uid="{00000000-0005-0000-0000-000049010000}"/>
    <cellStyle name="_TG-TH_2_Dongia2-2003" xfId="350" xr:uid="{00000000-0005-0000-0000-00004A010000}"/>
    <cellStyle name="_TG-TH_2_Dongia2-2003_DT truong thinh phu" xfId="351" xr:uid="{00000000-0005-0000-0000-00004B010000}"/>
    <cellStyle name="_TG-TH_2_DT truong thinh phu" xfId="352" xr:uid="{00000000-0005-0000-0000-00004C010000}"/>
    <cellStyle name="_TG-TH_2_DTCDT MR.2N110.HOCMON.TDTOAN.CCUNG" xfId="353" xr:uid="{00000000-0005-0000-0000-00004D010000}"/>
    <cellStyle name="_TG-TH_2_Lora-tungchau" xfId="354" xr:uid="{00000000-0005-0000-0000-00004E010000}"/>
    <cellStyle name="_TG-TH_2_moi" xfId="355" xr:uid="{00000000-0005-0000-0000-00004F010000}"/>
    <cellStyle name="_TG-TH_2_PGIA-phieu tham tra Kho bac" xfId="356" xr:uid="{00000000-0005-0000-0000-000050010000}"/>
    <cellStyle name="_TG-TH_2_PT02-02" xfId="357" xr:uid="{00000000-0005-0000-0000-000051010000}"/>
    <cellStyle name="_TG-TH_2_PT02-02_Book1" xfId="358" xr:uid="{00000000-0005-0000-0000-000052010000}"/>
    <cellStyle name="_TG-TH_2_PT02-03" xfId="359" xr:uid="{00000000-0005-0000-0000-000053010000}"/>
    <cellStyle name="_TG-TH_2_PT02-03_Book1" xfId="360" xr:uid="{00000000-0005-0000-0000-000054010000}"/>
    <cellStyle name="_TG-TH_2_Qt-HT3PQ1(CauKho)" xfId="361" xr:uid="{00000000-0005-0000-0000-000055010000}"/>
    <cellStyle name="_TG-TH_2_Qt-HT3PQ1(CauKho)_Book1" xfId="362" xr:uid="{00000000-0005-0000-0000-000056010000}"/>
    <cellStyle name="_TG-TH_2_Qt-HT3PQ1(CauKho)_Don gia quy 3 nam 2003 - Ban Dien Luc" xfId="363" xr:uid="{00000000-0005-0000-0000-000057010000}"/>
    <cellStyle name="_TG-TH_2_Qt-HT3PQ1(CauKho)_NC-VL2-2003" xfId="364" xr:uid="{00000000-0005-0000-0000-000058010000}"/>
    <cellStyle name="_TG-TH_2_Qt-HT3PQ1(CauKho)_NC-VL2-2003_1" xfId="365" xr:uid="{00000000-0005-0000-0000-000059010000}"/>
    <cellStyle name="_TG-TH_2_Qt-HT3PQ1(CauKho)_XL4Test5" xfId="366" xr:uid="{00000000-0005-0000-0000-00005A010000}"/>
    <cellStyle name="_TG-TH_2_Sheet2" xfId="367" xr:uid="{00000000-0005-0000-0000-00005B010000}"/>
    <cellStyle name="_TG-TH_2_TMinhTC2010" xfId="368" xr:uid="{00000000-0005-0000-0000-00005C010000}"/>
    <cellStyle name="_TG-TH_2_XL4Poppy" xfId="369" xr:uid="{00000000-0005-0000-0000-00005D010000}"/>
    <cellStyle name="_TG-TH_2_XL4Test5" xfId="370" xr:uid="{00000000-0005-0000-0000-00005E010000}"/>
    <cellStyle name="_TG-TH_3" xfId="371" xr:uid="{00000000-0005-0000-0000-00005F010000}"/>
    <cellStyle name="_TG-TH_3_Lora-tungchau" xfId="372" xr:uid="{00000000-0005-0000-0000-000060010000}"/>
    <cellStyle name="_TG-TH_3_Qt-HT3PQ1(CauKho)" xfId="373" xr:uid="{00000000-0005-0000-0000-000061010000}"/>
    <cellStyle name="_TG-TH_3_Qt-HT3PQ1(CauKho)_Book1" xfId="374" xr:uid="{00000000-0005-0000-0000-000062010000}"/>
    <cellStyle name="_TG-TH_3_Qt-HT3PQ1(CauKho)_Don gia quy 3 nam 2003 - Ban Dien Luc" xfId="375" xr:uid="{00000000-0005-0000-0000-000063010000}"/>
    <cellStyle name="_TG-TH_3_Qt-HT3PQ1(CauKho)_NC-VL2-2003" xfId="376" xr:uid="{00000000-0005-0000-0000-000064010000}"/>
    <cellStyle name="_TG-TH_3_Qt-HT3PQ1(CauKho)_NC-VL2-2003_1" xfId="377" xr:uid="{00000000-0005-0000-0000-000065010000}"/>
    <cellStyle name="_TG-TH_3_Qt-HT3PQ1(CauKho)_XL4Test5" xfId="378" xr:uid="{00000000-0005-0000-0000-000066010000}"/>
    <cellStyle name="_TG-TH_4" xfId="379" xr:uid="{00000000-0005-0000-0000-000067010000}"/>
    <cellStyle name="_TH KHAI TOAN THU THIEM cac tuyen TT noi" xfId="380" xr:uid="{00000000-0005-0000-0000-000068010000}"/>
    <cellStyle name="•W€_STDFOR" xfId="381" xr:uid="{00000000-0005-0000-0000-000069010000}"/>
    <cellStyle name="000," xfId="382" xr:uid="{00000000-0005-0000-0000-00006A010000}"/>
    <cellStyle name="000,000" xfId="383" xr:uid="{00000000-0005-0000-0000-00006B010000}"/>
    <cellStyle name="1" xfId="384" xr:uid="{00000000-0005-0000-0000-00006C010000}"/>
    <cellStyle name="¹éºÐÀ²_      " xfId="385" xr:uid="{00000000-0005-0000-0000-00006D010000}"/>
    <cellStyle name="2" xfId="386" xr:uid="{00000000-0005-0000-0000-00006E010000}"/>
    <cellStyle name="3" xfId="387" xr:uid="{00000000-0005-0000-0000-00006F010000}"/>
    <cellStyle name="4" xfId="388" xr:uid="{00000000-0005-0000-0000-000070010000}"/>
    <cellStyle name="ÅëÈ­ [0]_      " xfId="389" xr:uid="{00000000-0005-0000-0000-000071010000}"/>
    <cellStyle name="AeE­ [0]_INQUIRY ¿?¾÷AßAø " xfId="390" xr:uid="{00000000-0005-0000-0000-000072010000}"/>
    <cellStyle name="ÅëÈ­ [0]_L601CPT" xfId="391" xr:uid="{00000000-0005-0000-0000-000073010000}"/>
    <cellStyle name="ÅëÈ­_      " xfId="392" xr:uid="{00000000-0005-0000-0000-000074010000}"/>
    <cellStyle name="AeE­_INQUIRY ¿?¾÷AßAø " xfId="393" xr:uid="{00000000-0005-0000-0000-000075010000}"/>
    <cellStyle name="ÅëÈ­_L601CPT" xfId="394" xr:uid="{00000000-0005-0000-0000-000076010000}"/>
    <cellStyle name="ÄÞ¸¶ [0]_      " xfId="395" xr:uid="{00000000-0005-0000-0000-000077010000}"/>
    <cellStyle name="AÞ¸¶ [0]_INQUIRY ¿?¾÷AßAø " xfId="396" xr:uid="{00000000-0005-0000-0000-000078010000}"/>
    <cellStyle name="ÄÞ¸¶ [0]_L601CPT" xfId="397" xr:uid="{00000000-0005-0000-0000-000079010000}"/>
    <cellStyle name="ÄÞ¸¶_      " xfId="398" xr:uid="{00000000-0005-0000-0000-00007A010000}"/>
    <cellStyle name="AÞ¸¶_INQUIRY ¿?¾÷AßAø " xfId="399" xr:uid="{00000000-0005-0000-0000-00007B010000}"/>
    <cellStyle name="ÄÞ¸¶_L601CPT" xfId="400" xr:uid="{00000000-0005-0000-0000-00007C010000}"/>
    <cellStyle name="AutoFormat Options" xfId="401" xr:uid="{00000000-0005-0000-0000-00007D010000}"/>
    <cellStyle name="C?AØ_¿?¾÷CoE² " xfId="402" xr:uid="{00000000-0005-0000-0000-00007E010000}"/>
    <cellStyle name="Ç¥ÁØ_      " xfId="403" xr:uid="{00000000-0005-0000-0000-00007F010000}"/>
    <cellStyle name="C￥AØ_¿μ¾÷CoE² " xfId="404" xr:uid="{00000000-0005-0000-0000-000080010000}"/>
    <cellStyle name="Ç¥ÁØ_±¸¹Ì´ëÃ¥" xfId="405" xr:uid="{00000000-0005-0000-0000-000081010000}"/>
    <cellStyle name="Calc Currency (0)" xfId="406" xr:uid="{00000000-0005-0000-0000-000082010000}"/>
    <cellStyle name="Calc Currency (2)" xfId="407" xr:uid="{00000000-0005-0000-0000-000083010000}"/>
    <cellStyle name="Calc Percent (0)" xfId="408" xr:uid="{00000000-0005-0000-0000-000084010000}"/>
    <cellStyle name="Calc Percent (1)" xfId="409" xr:uid="{00000000-0005-0000-0000-000085010000}"/>
    <cellStyle name="Calc Percent (2)" xfId="410" xr:uid="{00000000-0005-0000-0000-000086010000}"/>
    <cellStyle name="Calc Units (0)" xfId="411" xr:uid="{00000000-0005-0000-0000-000087010000}"/>
    <cellStyle name="Calc Units (1)" xfId="412" xr:uid="{00000000-0005-0000-0000-000088010000}"/>
    <cellStyle name="Calc Units (2)" xfId="413" xr:uid="{00000000-0005-0000-0000-000089010000}"/>
    <cellStyle name="category" xfId="414" xr:uid="{00000000-0005-0000-0000-00008A010000}"/>
    <cellStyle name="Cerrency_Sheet2_XANGDAU" xfId="415" xr:uid="{00000000-0005-0000-0000-00008B010000}"/>
    <cellStyle name="Comma [00]" xfId="416" xr:uid="{00000000-0005-0000-0000-00008C010000}"/>
    <cellStyle name="Comma [000,000]" xfId="417" xr:uid="{00000000-0005-0000-0000-00008D010000}"/>
    <cellStyle name="Comma 000,000" xfId="418" xr:uid="{00000000-0005-0000-0000-00008E010000}"/>
    <cellStyle name="Comma 10" xfId="419" xr:uid="{00000000-0005-0000-0000-00008F010000}"/>
    <cellStyle name="Comma 11" xfId="420" xr:uid="{00000000-0005-0000-0000-000090010000}"/>
    <cellStyle name="Comma 2" xfId="12" xr:uid="{00000000-0005-0000-0000-000091010000}"/>
    <cellStyle name="Comma 2 2" xfId="421" xr:uid="{00000000-0005-0000-0000-000092010000}"/>
    <cellStyle name="Comma 2_Thang01" xfId="422" xr:uid="{00000000-0005-0000-0000-000093010000}"/>
    <cellStyle name="Comma 3" xfId="13" xr:uid="{00000000-0005-0000-0000-000094010000}"/>
    <cellStyle name="Comma 4" xfId="423" xr:uid="{00000000-0005-0000-0000-000095010000}"/>
    <cellStyle name="Comma 5" xfId="424" xr:uid="{00000000-0005-0000-0000-000096010000}"/>
    <cellStyle name="Comma 6" xfId="425" xr:uid="{00000000-0005-0000-0000-000097010000}"/>
    <cellStyle name="Comma 7" xfId="426" xr:uid="{00000000-0005-0000-0000-000098010000}"/>
    <cellStyle name="Comma 7 2" xfId="427" xr:uid="{00000000-0005-0000-0000-000099010000}"/>
    <cellStyle name="Comma 7 2 2" xfId="428" xr:uid="{00000000-0005-0000-0000-00009A010000}"/>
    <cellStyle name="Comma 8" xfId="429" xr:uid="{00000000-0005-0000-0000-00009B010000}"/>
    <cellStyle name="Comma 8 2" xfId="430" xr:uid="{00000000-0005-0000-0000-00009C010000}"/>
    <cellStyle name="Comma 9" xfId="5" xr:uid="{00000000-0005-0000-0000-00009D010000}"/>
    <cellStyle name="Comma0" xfId="431" xr:uid="{00000000-0005-0000-0000-00009E010000}"/>
    <cellStyle name="Currency [00]" xfId="432" xr:uid="{00000000-0005-0000-0000-00009F010000}"/>
    <cellStyle name="Currency 2" xfId="433" xr:uid="{00000000-0005-0000-0000-0000A0010000}"/>
    <cellStyle name="Currency0" xfId="434" xr:uid="{00000000-0005-0000-0000-0000A1010000}"/>
    <cellStyle name="Date" xfId="435" xr:uid="{00000000-0005-0000-0000-0000A2010000}"/>
    <cellStyle name="Date Short" xfId="436" xr:uid="{00000000-0005-0000-0000-0000A3010000}"/>
    <cellStyle name="Dezimal [0]_UXO VII" xfId="437" xr:uid="{00000000-0005-0000-0000-0000A4010000}"/>
    <cellStyle name="Dezimal_UXO VII" xfId="438" xr:uid="{00000000-0005-0000-0000-0000A5010000}"/>
    <cellStyle name="Enter Currency (0)" xfId="439" xr:uid="{00000000-0005-0000-0000-0000A6010000}"/>
    <cellStyle name="Enter Currency (2)" xfId="440" xr:uid="{00000000-0005-0000-0000-0000A7010000}"/>
    <cellStyle name="Enter Units (0)" xfId="441" xr:uid="{00000000-0005-0000-0000-0000A8010000}"/>
    <cellStyle name="Enter Units (1)" xfId="442" xr:uid="{00000000-0005-0000-0000-0000A9010000}"/>
    <cellStyle name="Enter Units (2)" xfId="443" xr:uid="{00000000-0005-0000-0000-0000AA010000}"/>
    <cellStyle name="Euro" xfId="444" xr:uid="{00000000-0005-0000-0000-0000AB010000}"/>
    <cellStyle name="Excel Built-in Normal" xfId="445" xr:uid="{00000000-0005-0000-0000-0000AC010000}"/>
    <cellStyle name="Fixed" xfId="446" xr:uid="{00000000-0005-0000-0000-0000AD010000}"/>
    <cellStyle name="Grey" xfId="447" xr:uid="{00000000-0005-0000-0000-0000AE010000}"/>
    <cellStyle name="ha" xfId="448" xr:uid="{00000000-0005-0000-0000-0000AF010000}"/>
    <cellStyle name="HEADER" xfId="449" xr:uid="{00000000-0005-0000-0000-0000B0010000}"/>
    <cellStyle name="Header1" xfId="450" xr:uid="{00000000-0005-0000-0000-0000B1010000}"/>
    <cellStyle name="Header2" xfId="451" xr:uid="{00000000-0005-0000-0000-0000B2010000}"/>
    <cellStyle name="Heading1" xfId="452" xr:uid="{00000000-0005-0000-0000-0000B3010000}"/>
    <cellStyle name="Heading2" xfId="453" xr:uid="{00000000-0005-0000-0000-0000B4010000}"/>
    <cellStyle name="headoption" xfId="454" xr:uid="{00000000-0005-0000-0000-0000B5010000}"/>
    <cellStyle name="Hoa-Scholl" xfId="455" xr:uid="{00000000-0005-0000-0000-0000B6010000}"/>
    <cellStyle name="Hyperlink" xfId="18" builtinId="8"/>
    <cellStyle name="Hyperlink 2" xfId="456" xr:uid="{00000000-0005-0000-0000-0000B8010000}"/>
    <cellStyle name="i·0" xfId="457" xr:uid="{00000000-0005-0000-0000-0000B9010000}"/>
    <cellStyle name="Îáû÷íûé_ÏÄÍÃ" xfId="458" xr:uid="{00000000-0005-0000-0000-0000BA010000}"/>
    <cellStyle name="Input [yellow]" xfId="459" xr:uid="{00000000-0005-0000-0000-0000BB010000}"/>
    <cellStyle name="Line" xfId="460" xr:uid="{00000000-0005-0000-0000-0000BC010000}"/>
    <cellStyle name="Link Currency (0)" xfId="461" xr:uid="{00000000-0005-0000-0000-0000BD010000}"/>
    <cellStyle name="Link Currency (2)" xfId="462" xr:uid="{00000000-0005-0000-0000-0000BE010000}"/>
    <cellStyle name="Link Units (0)" xfId="463" xr:uid="{00000000-0005-0000-0000-0000BF010000}"/>
    <cellStyle name="Link Units (1)" xfId="464" xr:uid="{00000000-0005-0000-0000-0000C0010000}"/>
    <cellStyle name="Link Units (2)" xfId="465" xr:uid="{00000000-0005-0000-0000-0000C1010000}"/>
    <cellStyle name="Millares [0]_Well Timing" xfId="466" xr:uid="{00000000-0005-0000-0000-0000C2010000}"/>
    <cellStyle name="Millares_Well Timing" xfId="467" xr:uid="{00000000-0005-0000-0000-0000C3010000}"/>
    <cellStyle name="Model" xfId="468" xr:uid="{00000000-0005-0000-0000-0000C4010000}"/>
    <cellStyle name="Moneda [0]_Well Timing" xfId="469" xr:uid="{00000000-0005-0000-0000-0000C5010000}"/>
    <cellStyle name="Moneda_Well Timing" xfId="470" xr:uid="{00000000-0005-0000-0000-0000C6010000}"/>
    <cellStyle name="n" xfId="471" xr:uid="{00000000-0005-0000-0000-0000C7010000}"/>
    <cellStyle name="Normal" xfId="0" builtinId="0"/>
    <cellStyle name="Normal - Style1" xfId="472" xr:uid="{00000000-0005-0000-0000-0000C9010000}"/>
    <cellStyle name="Normal - 유형1" xfId="473" xr:uid="{00000000-0005-0000-0000-0000CA010000}"/>
    <cellStyle name="Normal 2" xfId="1" xr:uid="{00000000-0005-0000-0000-0000CB010000}"/>
    <cellStyle name="Normal 3" xfId="14" xr:uid="{00000000-0005-0000-0000-0000CC010000}"/>
    <cellStyle name="Normal 3 2" xfId="15" xr:uid="{00000000-0005-0000-0000-0000CD010000}"/>
    <cellStyle name="Normal 4" xfId="16" xr:uid="{00000000-0005-0000-0000-0000CE010000}"/>
    <cellStyle name="Normal 5" xfId="17" xr:uid="{00000000-0005-0000-0000-0000CF010000}"/>
    <cellStyle name="Normal 5 2" xfId="474" xr:uid="{00000000-0005-0000-0000-0000D0010000}"/>
    <cellStyle name="Normal 6" xfId="475" xr:uid="{00000000-0005-0000-0000-0000D1010000}"/>
    <cellStyle name="Normal 6 2" xfId="476" xr:uid="{00000000-0005-0000-0000-0000D2010000}"/>
    <cellStyle name="Normal 7" xfId="6" xr:uid="{00000000-0005-0000-0000-0000D3010000}"/>
    <cellStyle name="Normal 8" xfId="477" xr:uid="{00000000-0005-0000-0000-0000D4010000}"/>
    <cellStyle name="Normal_2007 2" xfId="7" xr:uid="{00000000-0005-0000-0000-0000D5010000}"/>
    <cellStyle name="Normal_ChiTietNM0304" xfId="4" xr:uid="{00000000-0005-0000-0000-0000D6010000}"/>
    <cellStyle name="Normal_Cty CP Cong Nghe Suc Song Viet T09 2" xfId="9" xr:uid="{00000000-0005-0000-0000-0000D7010000}"/>
    <cellStyle name="Normal_Dichso" xfId="11" xr:uid="{00000000-0005-0000-0000-0000D8010000}"/>
    <cellStyle name="Normal_DocSoUnicode" xfId="8" xr:uid="{00000000-0005-0000-0000-0000D9010000}"/>
    <cellStyle name="Normal_NhatKy0403" xfId="10" xr:uid="{00000000-0005-0000-0000-0000DA010000}"/>
    <cellStyle name="Normal_NXT2008" xfId="19" xr:uid="{00000000-0005-0000-0000-0000DB010000}"/>
    <cellStyle name="Normal_PXK" xfId="2" xr:uid="{00000000-0005-0000-0000-0000DC010000}"/>
    <cellStyle name="Normal_Sheet1" xfId="3" xr:uid="{00000000-0005-0000-0000-0000DD010000}"/>
    <cellStyle name="oft Excel]_x000d__x000a_Comment=open=/f ‚ðw’è‚·‚é‚ÆAƒ†[ƒU[’è‹`ŠÖ”‚ðŠÖ”“\‚è•t‚¯‚Ìˆê——‚É“o˜^‚·‚é‚±‚Æ‚ª‚Å‚«‚Ü‚·B_x000d__x000a_Maximized" xfId="478" xr:uid="{00000000-0005-0000-0000-0000DE010000}"/>
    <cellStyle name="omma [0]_Mktg Prog" xfId="479" xr:uid="{00000000-0005-0000-0000-0000DF010000}"/>
    <cellStyle name="ormal_Sheet1_1" xfId="480" xr:uid="{00000000-0005-0000-0000-0000E0010000}"/>
    <cellStyle name="Percent [0]" xfId="481" xr:uid="{00000000-0005-0000-0000-0000E1010000}"/>
    <cellStyle name="Percent [00]" xfId="482" xr:uid="{00000000-0005-0000-0000-0000E2010000}"/>
    <cellStyle name="Percent [2]" xfId="483" xr:uid="{00000000-0005-0000-0000-0000E3010000}"/>
    <cellStyle name="PrePop Currency (0)" xfId="484" xr:uid="{00000000-0005-0000-0000-0000E4010000}"/>
    <cellStyle name="PrePop Currency (2)" xfId="485" xr:uid="{00000000-0005-0000-0000-0000E5010000}"/>
    <cellStyle name="PrePop Units (0)" xfId="486" xr:uid="{00000000-0005-0000-0000-0000E6010000}"/>
    <cellStyle name="PrePop Units (1)" xfId="487" xr:uid="{00000000-0005-0000-0000-0000E7010000}"/>
    <cellStyle name="PrePop Units (2)" xfId="488" xr:uid="{00000000-0005-0000-0000-0000E8010000}"/>
    <cellStyle name="pricing" xfId="489" xr:uid="{00000000-0005-0000-0000-0000E9010000}"/>
    <cellStyle name="PSChar" xfId="490" xr:uid="{00000000-0005-0000-0000-0000EA010000}"/>
    <cellStyle name="PSHeading" xfId="491" xr:uid="{00000000-0005-0000-0000-0000EB010000}"/>
    <cellStyle name="S—_x0008_" xfId="492" xr:uid="{00000000-0005-0000-0000-0000EC010000}"/>
    <cellStyle name="Style 1" xfId="493" xr:uid="{00000000-0005-0000-0000-0000ED010000}"/>
    <cellStyle name="Style 10" xfId="494" xr:uid="{00000000-0005-0000-0000-0000EE010000}"/>
    <cellStyle name="Style 11" xfId="495" xr:uid="{00000000-0005-0000-0000-0000EF010000}"/>
    <cellStyle name="Style 12" xfId="496" xr:uid="{00000000-0005-0000-0000-0000F0010000}"/>
    <cellStyle name="Style 13" xfId="497" xr:uid="{00000000-0005-0000-0000-0000F1010000}"/>
    <cellStyle name="Style 14" xfId="498" xr:uid="{00000000-0005-0000-0000-0000F2010000}"/>
    <cellStyle name="Style 15" xfId="499" xr:uid="{00000000-0005-0000-0000-0000F3010000}"/>
    <cellStyle name="Style 16" xfId="500" xr:uid="{00000000-0005-0000-0000-0000F4010000}"/>
    <cellStyle name="Style 17" xfId="501" xr:uid="{00000000-0005-0000-0000-0000F5010000}"/>
    <cellStyle name="Style 18" xfId="502" xr:uid="{00000000-0005-0000-0000-0000F6010000}"/>
    <cellStyle name="Style 19" xfId="503" xr:uid="{00000000-0005-0000-0000-0000F7010000}"/>
    <cellStyle name="Style 2" xfId="504" xr:uid="{00000000-0005-0000-0000-0000F8010000}"/>
    <cellStyle name="Style 20" xfId="505" xr:uid="{00000000-0005-0000-0000-0000F9010000}"/>
    <cellStyle name="Style 21" xfId="506" xr:uid="{00000000-0005-0000-0000-0000FA010000}"/>
    <cellStyle name="Style 22" xfId="507" xr:uid="{00000000-0005-0000-0000-0000FB010000}"/>
    <cellStyle name="Style 23" xfId="508" xr:uid="{00000000-0005-0000-0000-0000FC010000}"/>
    <cellStyle name="Style 24" xfId="509" xr:uid="{00000000-0005-0000-0000-0000FD010000}"/>
    <cellStyle name="Style 25" xfId="510" xr:uid="{00000000-0005-0000-0000-0000FE010000}"/>
    <cellStyle name="Style 26" xfId="511" xr:uid="{00000000-0005-0000-0000-0000FF010000}"/>
    <cellStyle name="Style 27" xfId="512" xr:uid="{00000000-0005-0000-0000-000000020000}"/>
    <cellStyle name="Style 28" xfId="513" xr:uid="{00000000-0005-0000-0000-000001020000}"/>
    <cellStyle name="Style 29" xfId="514" xr:uid="{00000000-0005-0000-0000-000002020000}"/>
    <cellStyle name="Style 3" xfId="515" xr:uid="{00000000-0005-0000-0000-000003020000}"/>
    <cellStyle name="Style 30" xfId="516" xr:uid="{00000000-0005-0000-0000-000004020000}"/>
    <cellStyle name="Style 31" xfId="517" xr:uid="{00000000-0005-0000-0000-000005020000}"/>
    <cellStyle name="Style 32" xfId="518" xr:uid="{00000000-0005-0000-0000-000006020000}"/>
    <cellStyle name="Style 33" xfId="519" xr:uid="{00000000-0005-0000-0000-000007020000}"/>
    <cellStyle name="Style 34" xfId="520" xr:uid="{00000000-0005-0000-0000-000008020000}"/>
    <cellStyle name="Style 35" xfId="521" xr:uid="{00000000-0005-0000-0000-000009020000}"/>
    <cellStyle name="Style 36" xfId="522" xr:uid="{00000000-0005-0000-0000-00000A020000}"/>
    <cellStyle name="Style 37" xfId="523" xr:uid="{00000000-0005-0000-0000-00000B020000}"/>
    <cellStyle name="Style 38" xfId="524" xr:uid="{00000000-0005-0000-0000-00000C020000}"/>
    <cellStyle name="Style 39" xfId="525" xr:uid="{00000000-0005-0000-0000-00000D020000}"/>
    <cellStyle name="Style 4" xfId="526" xr:uid="{00000000-0005-0000-0000-00000E020000}"/>
    <cellStyle name="Style 40" xfId="527" xr:uid="{00000000-0005-0000-0000-00000F020000}"/>
    <cellStyle name="Style 41" xfId="528" xr:uid="{00000000-0005-0000-0000-000010020000}"/>
    <cellStyle name="Style 42" xfId="529" xr:uid="{00000000-0005-0000-0000-000011020000}"/>
    <cellStyle name="Style 43" xfId="530" xr:uid="{00000000-0005-0000-0000-000012020000}"/>
    <cellStyle name="Style 44" xfId="531" xr:uid="{00000000-0005-0000-0000-000013020000}"/>
    <cellStyle name="Style 45" xfId="532" xr:uid="{00000000-0005-0000-0000-000014020000}"/>
    <cellStyle name="Style 46" xfId="533" xr:uid="{00000000-0005-0000-0000-000015020000}"/>
    <cellStyle name="Style 47" xfId="534" xr:uid="{00000000-0005-0000-0000-000016020000}"/>
    <cellStyle name="Style 48" xfId="535" xr:uid="{00000000-0005-0000-0000-000017020000}"/>
    <cellStyle name="Style 49" xfId="536" xr:uid="{00000000-0005-0000-0000-000018020000}"/>
    <cellStyle name="Style 5" xfId="537" xr:uid="{00000000-0005-0000-0000-000019020000}"/>
    <cellStyle name="Style 50" xfId="538" xr:uid="{00000000-0005-0000-0000-00001A020000}"/>
    <cellStyle name="Style 51" xfId="539" xr:uid="{00000000-0005-0000-0000-00001B020000}"/>
    <cellStyle name="Style 52" xfId="540" xr:uid="{00000000-0005-0000-0000-00001C020000}"/>
    <cellStyle name="Style 53" xfId="541" xr:uid="{00000000-0005-0000-0000-00001D020000}"/>
    <cellStyle name="Style 54" xfId="542" xr:uid="{00000000-0005-0000-0000-00001E020000}"/>
    <cellStyle name="Style 55" xfId="543" xr:uid="{00000000-0005-0000-0000-00001F020000}"/>
    <cellStyle name="Style 56" xfId="544" xr:uid="{00000000-0005-0000-0000-000020020000}"/>
    <cellStyle name="Style 57" xfId="545" xr:uid="{00000000-0005-0000-0000-000021020000}"/>
    <cellStyle name="Style 58" xfId="546" xr:uid="{00000000-0005-0000-0000-000022020000}"/>
    <cellStyle name="Style 59" xfId="547" xr:uid="{00000000-0005-0000-0000-000023020000}"/>
    <cellStyle name="Style 6" xfId="548" xr:uid="{00000000-0005-0000-0000-000024020000}"/>
    <cellStyle name="Style 60" xfId="549" xr:uid="{00000000-0005-0000-0000-000025020000}"/>
    <cellStyle name="Style 61" xfId="550" xr:uid="{00000000-0005-0000-0000-000026020000}"/>
    <cellStyle name="Style 62" xfId="551" xr:uid="{00000000-0005-0000-0000-000027020000}"/>
    <cellStyle name="Style 63" xfId="552" xr:uid="{00000000-0005-0000-0000-000028020000}"/>
    <cellStyle name="Style 64" xfId="553" xr:uid="{00000000-0005-0000-0000-000029020000}"/>
    <cellStyle name="Style 65" xfId="554" xr:uid="{00000000-0005-0000-0000-00002A020000}"/>
    <cellStyle name="Style 66" xfId="555" xr:uid="{00000000-0005-0000-0000-00002B020000}"/>
    <cellStyle name="Style 67" xfId="556" xr:uid="{00000000-0005-0000-0000-00002C020000}"/>
    <cellStyle name="Style 68" xfId="557" xr:uid="{00000000-0005-0000-0000-00002D020000}"/>
    <cellStyle name="Style 69" xfId="558" xr:uid="{00000000-0005-0000-0000-00002E020000}"/>
    <cellStyle name="Style 7" xfId="559" xr:uid="{00000000-0005-0000-0000-00002F020000}"/>
    <cellStyle name="Style 70" xfId="560" xr:uid="{00000000-0005-0000-0000-000030020000}"/>
    <cellStyle name="Style 71" xfId="561" xr:uid="{00000000-0005-0000-0000-000031020000}"/>
    <cellStyle name="Style 72" xfId="562" xr:uid="{00000000-0005-0000-0000-000032020000}"/>
    <cellStyle name="Style 73" xfId="563" xr:uid="{00000000-0005-0000-0000-000033020000}"/>
    <cellStyle name="Style 74" xfId="564" xr:uid="{00000000-0005-0000-0000-000034020000}"/>
    <cellStyle name="Style 75" xfId="565" xr:uid="{00000000-0005-0000-0000-000035020000}"/>
    <cellStyle name="Style 76" xfId="566" xr:uid="{00000000-0005-0000-0000-000036020000}"/>
    <cellStyle name="Style 77" xfId="567" xr:uid="{00000000-0005-0000-0000-000037020000}"/>
    <cellStyle name="Style 78" xfId="568" xr:uid="{00000000-0005-0000-0000-000038020000}"/>
    <cellStyle name="Style 79" xfId="569" xr:uid="{00000000-0005-0000-0000-000039020000}"/>
    <cellStyle name="Style 8" xfId="570" xr:uid="{00000000-0005-0000-0000-00003A020000}"/>
    <cellStyle name="Style 80" xfId="571" xr:uid="{00000000-0005-0000-0000-00003B020000}"/>
    <cellStyle name="Style 81" xfId="572" xr:uid="{00000000-0005-0000-0000-00003C020000}"/>
    <cellStyle name="Style 82" xfId="573" xr:uid="{00000000-0005-0000-0000-00003D020000}"/>
    <cellStyle name="Style 83" xfId="574" xr:uid="{00000000-0005-0000-0000-00003E020000}"/>
    <cellStyle name="Style 84" xfId="575" xr:uid="{00000000-0005-0000-0000-00003F020000}"/>
    <cellStyle name="Style 85" xfId="576" xr:uid="{00000000-0005-0000-0000-000040020000}"/>
    <cellStyle name="Style 86" xfId="577" xr:uid="{00000000-0005-0000-0000-000041020000}"/>
    <cellStyle name="Style 87" xfId="578" xr:uid="{00000000-0005-0000-0000-000042020000}"/>
    <cellStyle name="Style 88" xfId="579" xr:uid="{00000000-0005-0000-0000-000043020000}"/>
    <cellStyle name="Style 89" xfId="580" xr:uid="{00000000-0005-0000-0000-000044020000}"/>
    <cellStyle name="Style 9" xfId="581" xr:uid="{00000000-0005-0000-0000-000045020000}"/>
    <cellStyle name="Style 90" xfId="582" xr:uid="{00000000-0005-0000-0000-000046020000}"/>
    <cellStyle name="Style 91" xfId="583" xr:uid="{00000000-0005-0000-0000-000047020000}"/>
    <cellStyle name="subhead" xfId="584" xr:uid="{00000000-0005-0000-0000-000048020000}"/>
    <cellStyle name="T" xfId="585" xr:uid="{00000000-0005-0000-0000-000049020000}"/>
    <cellStyle name="Text Indent A" xfId="586" xr:uid="{00000000-0005-0000-0000-00004A020000}"/>
    <cellStyle name="Text Indent B" xfId="587" xr:uid="{00000000-0005-0000-0000-00004B020000}"/>
    <cellStyle name="Text Indent C" xfId="588" xr:uid="{00000000-0005-0000-0000-00004C020000}"/>
    <cellStyle name="th" xfId="589" xr:uid="{00000000-0005-0000-0000-00004D020000}"/>
    <cellStyle name="þ_x001d_ð¤_x000c_¯þ_x0014__x000d_¨þU_x0001_À_x0004_ _x0015__x000f__x0001__x0001_" xfId="590" xr:uid="{00000000-0005-0000-0000-00004E020000}"/>
    <cellStyle name="þ_x001d_ðK_x000c_Fý_x001b__x000d_9ýU_x0001_Ð_x0008_¦)_x0007__x0001__x0001_" xfId="591" xr:uid="{00000000-0005-0000-0000-00004F020000}"/>
    <cellStyle name="viet" xfId="592" xr:uid="{00000000-0005-0000-0000-000050020000}"/>
    <cellStyle name="viet2" xfId="593" xr:uid="{00000000-0005-0000-0000-000051020000}"/>
    <cellStyle name="VN new romanNormal" xfId="594" xr:uid="{00000000-0005-0000-0000-000052020000}"/>
    <cellStyle name="VN time new roman" xfId="595" xr:uid="{00000000-0005-0000-0000-000053020000}"/>
    <cellStyle name="vnbo" xfId="596" xr:uid="{00000000-0005-0000-0000-000054020000}"/>
    <cellStyle name="vnhead1" xfId="597" xr:uid="{00000000-0005-0000-0000-000055020000}"/>
    <cellStyle name="vnhead2" xfId="598" xr:uid="{00000000-0005-0000-0000-000056020000}"/>
    <cellStyle name="vnhead3" xfId="599" xr:uid="{00000000-0005-0000-0000-000057020000}"/>
    <cellStyle name="vnhead4" xfId="600" xr:uid="{00000000-0005-0000-0000-000058020000}"/>
    <cellStyle name="vntxt1" xfId="601" xr:uid="{00000000-0005-0000-0000-000059020000}"/>
    <cellStyle name="vntxt2" xfId="602" xr:uid="{00000000-0005-0000-0000-00005A020000}"/>
    <cellStyle name="Währung [0]_UXO VII" xfId="603" xr:uid="{00000000-0005-0000-0000-00005B020000}"/>
    <cellStyle name="Währung_UXO VII" xfId="604" xr:uid="{00000000-0005-0000-0000-00005C020000}"/>
    <cellStyle name="xuan" xfId="605" xr:uid="{00000000-0005-0000-0000-00005D020000}"/>
    <cellStyle name="Обычный_Elec-12 Fin" xfId="606" xr:uid="{00000000-0005-0000-0000-00005E020000}"/>
    <cellStyle name=" [0.00]_ Att. 1- Cover" xfId="607" xr:uid="{00000000-0005-0000-0000-00005F020000}"/>
    <cellStyle name="_ Att. 1- Cover" xfId="608" xr:uid="{00000000-0005-0000-0000-000060020000}"/>
    <cellStyle name="?_ Att. 1- Cover" xfId="609" xr:uid="{00000000-0005-0000-0000-000061020000}"/>
    <cellStyle name="똿뗦먛귟 [0.00]_PRODUCT DETAIL Q1" xfId="610" xr:uid="{00000000-0005-0000-0000-000062020000}"/>
    <cellStyle name="똿뗦먛귟_PRODUCT DETAIL Q1" xfId="611" xr:uid="{00000000-0005-0000-0000-000063020000}"/>
    <cellStyle name="믅됞 [0.00]_PRODUCT DETAIL Q1" xfId="612" xr:uid="{00000000-0005-0000-0000-000064020000}"/>
    <cellStyle name="믅됞_PRODUCT DETAIL Q1" xfId="613" xr:uid="{00000000-0005-0000-0000-000065020000}"/>
    <cellStyle name="백분율_95" xfId="614" xr:uid="{00000000-0005-0000-0000-000066020000}"/>
    <cellStyle name="뷭?_BOOKSHIP" xfId="615" xr:uid="{00000000-0005-0000-0000-000067020000}"/>
    <cellStyle name="콤마 [ - 유형1" xfId="616" xr:uid="{00000000-0005-0000-0000-000068020000}"/>
    <cellStyle name="콤마 [ - 유형2" xfId="617" xr:uid="{00000000-0005-0000-0000-000069020000}"/>
    <cellStyle name="콤마 [ - 유형3" xfId="618" xr:uid="{00000000-0005-0000-0000-00006A020000}"/>
    <cellStyle name="콤마 [ - 유형4" xfId="619" xr:uid="{00000000-0005-0000-0000-00006B020000}"/>
    <cellStyle name="콤마 [ - 유형5" xfId="620" xr:uid="{00000000-0005-0000-0000-00006C020000}"/>
    <cellStyle name="콤마 [ - 유형6" xfId="621" xr:uid="{00000000-0005-0000-0000-00006D020000}"/>
    <cellStyle name="콤마 [ - 유형7" xfId="622" xr:uid="{00000000-0005-0000-0000-00006E020000}"/>
    <cellStyle name="콤마 [ - 유형8" xfId="623" xr:uid="{00000000-0005-0000-0000-00006F020000}"/>
    <cellStyle name="콤마 [0]_0004 MECH COST  " xfId="624" xr:uid="{00000000-0005-0000-0000-000070020000}"/>
    <cellStyle name="콤마_0004 MECH COST  " xfId="625" xr:uid="{00000000-0005-0000-0000-000071020000}"/>
    <cellStyle name="통화 [0]_1202" xfId="626" xr:uid="{00000000-0005-0000-0000-000072020000}"/>
    <cellStyle name="통화_1202" xfId="627" xr:uid="{00000000-0005-0000-0000-000073020000}"/>
    <cellStyle name="표준_(정보부문)월별인원계획" xfId="628" xr:uid="{00000000-0005-0000-0000-000074020000}"/>
    <cellStyle name="一般_00Q3902REV.1" xfId="629" xr:uid="{00000000-0005-0000-0000-000075020000}"/>
    <cellStyle name="千分位[0]_00Q3902REV.1" xfId="630" xr:uid="{00000000-0005-0000-0000-000076020000}"/>
    <cellStyle name="千分位_00Q3902REV.1" xfId="631" xr:uid="{00000000-0005-0000-0000-000077020000}"/>
    <cellStyle name="桁区切り_工費" xfId="632" xr:uid="{00000000-0005-0000-0000-000078020000}"/>
    <cellStyle name="標準_工費" xfId="633" xr:uid="{00000000-0005-0000-0000-000079020000}"/>
    <cellStyle name="貨幣 [0]_00Q3902REV.1" xfId="634" xr:uid="{00000000-0005-0000-0000-00007A020000}"/>
    <cellStyle name="貨幣[0]_BRE" xfId="635" xr:uid="{00000000-0005-0000-0000-00007B020000}"/>
    <cellStyle name="貨幣_00Q3902REV.1" xfId="636" xr:uid="{00000000-0005-0000-0000-00007C020000}"/>
  </cellStyles>
  <dxfs count="1">
    <dxf>
      <font>
        <condense val="0"/>
        <extend val="0"/>
        <color indexed="10"/>
      </font>
      <fill>
        <patternFill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0</xdr:row>
      <xdr:rowOff>38100</xdr:rowOff>
    </xdr:from>
    <xdr:to>
      <xdr:col>8</xdr:col>
      <xdr:colOff>946897</xdr:colOff>
      <xdr:row>2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543800" y="38100"/>
          <a:ext cx="1423147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QT-KSK</a:t>
          </a:r>
        </a:p>
        <a:p>
          <a:pPr algn="l"/>
          <a:r>
            <a:rPr lang="en-US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BM05-KSK</a:t>
          </a:r>
        </a:p>
        <a:p>
          <a:pPr algn="l"/>
          <a:endParaRPr lang="en-US" sz="10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gan0018/Downloads/M&#7851;u%20s&#7889;%20s&#225;ch%20theo%20TT%20200.xlsx" TargetMode="External"/><Relationship Id="rId1" Type="http://schemas.openxmlformats.org/officeDocument/2006/relationships/externalLinkPath" Target="/Users/ngan0018/Downloads/M&#7851;u%20s&#7889;%20s&#225;ch%20theo%20TT%2020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&#244;ng%20ty%20TNHH%20MTV%20Vu&#771;%20C&#244;ng/NG&#194;N/NH&#7852;P%20XU&#7844;T%20T&#7890;N%20TH&#193;NG%2012.xlsx" TargetMode="External"/><Relationship Id="rId1" Type="http://schemas.openxmlformats.org/officeDocument/2006/relationships/externalLinkPath" Target="/C&#244;ng%20ty%20TNHH%20MTV%20Vu&#771;%20C&#244;ng/NG&#194;N/NH&#7852;P%20XU&#7844;T%20T&#7890;N%20TH&#193;NG%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ongtinDN"/>
      <sheetName val="MENU"/>
      <sheetName val="NKC"/>
      <sheetName val="Nhap-Xuat"/>
      <sheetName val="Tổng hợp NXT"/>
      <sheetName val="DANHKHACHHANG"/>
      <sheetName val="CDPS"/>
      <sheetName val="CDKT"/>
      <sheetName val="BCKQKD"/>
      <sheetName val="KQHĐSXKD"/>
      <sheetName val="LCTTTT"/>
      <sheetName val="TMBCTC"/>
      <sheetName val="lc tte"/>
      <sheetName val="so chi tiet"/>
      <sheetName val="Phieu nhap"/>
      <sheetName val="Phieu xuat"/>
      <sheetName val="Thẻ kho"/>
      <sheetName val="SQTM111"/>
      <sheetName val="TGNH112"/>
      <sheetName val=" PhieuThu-Chi"/>
      <sheetName val="Phieuhoachtoan"/>
      <sheetName val="Sổ chi tiết.131"/>
      <sheetName val="Sổ chi tiết.331"/>
      <sheetName val="Sổ chi tiết.154"/>
      <sheetName val="dthu-cp"/>
      <sheetName val="Phan bo khau hao"/>
      <sheetName val="QTTNDN năm"/>
      <sheetName val="03-1A_TNDN"/>
      <sheetName val="03-2A_TNDN"/>
      <sheetName val="Bankechiphixuatoan"/>
      <sheetName val="03-3A_TNDN"/>
      <sheetName val="Sheet1"/>
    </sheetNames>
    <sheetDataSet>
      <sheetData sheetId="0">
        <row r="17">
          <cell r="D17" t="str">
            <v>01/1/2015</v>
          </cell>
        </row>
        <row r="18">
          <cell r="D18" t="str">
            <v>31/12/2015</v>
          </cell>
        </row>
      </sheetData>
      <sheetData sheetId="1"/>
      <sheetData sheetId="2"/>
      <sheetData sheetId="3"/>
      <sheetData sheetId="4"/>
      <sheetData sheetId="5"/>
      <sheetData sheetId="6">
        <row r="11">
          <cell r="E11">
            <v>0</v>
          </cell>
          <cell r="F11">
            <v>0</v>
          </cell>
          <cell r="I11">
            <v>16444200000</v>
          </cell>
          <cell r="J11">
            <v>0</v>
          </cell>
        </row>
        <row r="12">
          <cell r="B12" t="str">
            <v>111</v>
          </cell>
          <cell r="E12">
            <v>0</v>
          </cell>
          <cell r="F12">
            <v>0</v>
          </cell>
          <cell r="I12">
            <v>16444200000</v>
          </cell>
          <cell r="J12">
            <v>0</v>
          </cell>
        </row>
        <row r="13">
          <cell r="B13" t="str">
            <v>111</v>
          </cell>
          <cell r="E13">
            <v>0</v>
          </cell>
          <cell r="F13">
            <v>0</v>
          </cell>
          <cell r="I13">
            <v>0</v>
          </cell>
          <cell r="J13">
            <v>0</v>
          </cell>
        </row>
        <row r="14">
          <cell r="B14" t="str">
            <v>111</v>
          </cell>
          <cell r="E14">
            <v>0</v>
          </cell>
          <cell r="F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I15">
            <v>1600000000</v>
          </cell>
          <cell r="J15">
            <v>0</v>
          </cell>
        </row>
        <row r="16">
          <cell r="B16" t="str">
            <v>111</v>
          </cell>
          <cell r="E16">
            <v>0</v>
          </cell>
          <cell r="F16">
            <v>0</v>
          </cell>
          <cell r="I16">
            <v>1600000000</v>
          </cell>
          <cell r="J16">
            <v>0</v>
          </cell>
        </row>
        <row r="17">
          <cell r="B17" t="str">
            <v>111</v>
          </cell>
          <cell r="E17">
            <v>0</v>
          </cell>
          <cell r="F17">
            <v>0</v>
          </cell>
          <cell r="I17">
            <v>0</v>
          </cell>
          <cell r="J17">
            <v>0</v>
          </cell>
        </row>
        <row r="18">
          <cell r="B18" t="str">
            <v>111</v>
          </cell>
          <cell r="E18">
            <v>0</v>
          </cell>
          <cell r="F18">
            <v>0</v>
          </cell>
          <cell r="I18">
            <v>0</v>
          </cell>
          <cell r="J18">
            <v>0</v>
          </cell>
        </row>
        <row r="19">
          <cell r="E19">
            <v>0</v>
          </cell>
          <cell r="F19">
            <v>0</v>
          </cell>
          <cell r="I19">
            <v>0</v>
          </cell>
          <cell r="J19">
            <v>0</v>
          </cell>
        </row>
        <row r="20">
          <cell r="B20" t="str">
            <v>111</v>
          </cell>
          <cell r="E20">
            <v>0</v>
          </cell>
          <cell r="F20">
            <v>0</v>
          </cell>
          <cell r="I20">
            <v>0</v>
          </cell>
          <cell r="J20">
            <v>0</v>
          </cell>
        </row>
        <row r="21">
          <cell r="B21" t="str">
            <v>111</v>
          </cell>
          <cell r="E21">
            <v>0</v>
          </cell>
          <cell r="F21">
            <v>0</v>
          </cell>
          <cell r="I21">
            <v>0</v>
          </cell>
          <cell r="J21">
            <v>0</v>
          </cell>
        </row>
        <row r="22">
          <cell r="E22">
            <v>0</v>
          </cell>
          <cell r="F22">
            <v>0</v>
          </cell>
          <cell r="I22">
            <v>0</v>
          </cell>
          <cell r="J22">
            <v>0</v>
          </cell>
        </row>
        <row r="23">
          <cell r="B23">
            <v>121</v>
          </cell>
          <cell r="E23">
            <v>0</v>
          </cell>
          <cell r="F23">
            <v>0</v>
          </cell>
          <cell r="I23">
            <v>0</v>
          </cell>
          <cell r="J23">
            <v>0</v>
          </cell>
        </row>
        <row r="24">
          <cell r="B24">
            <v>121</v>
          </cell>
          <cell r="E24">
            <v>0</v>
          </cell>
          <cell r="F24">
            <v>0</v>
          </cell>
          <cell r="I24">
            <v>0</v>
          </cell>
          <cell r="J24">
            <v>0</v>
          </cell>
        </row>
        <row r="25">
          <cell r="B25">
            <v>121</v>
          </cell>
          <cell r="E25">
            <v>0</v>
          </cell>
          <cell r="F25">
            <v>0</v>
          </cell>
          <cell r="I25">
            <v>0</v>
          </cell>
          <cell r="J25">
            <v>0</v>
          </cell>
        </row>
        <row r="26">
          <cell r="E26">
            <v>0</v>
          </cell>
          <cell r="F26">
            <v>0</v>
          </cell>
          <cell r="I26">
            <v>0</v>
          </cell>
          <cell r="J26">
            <v>0</v>
          </cell>
        </row>
        <row r="27">
          <cell r="B27">
            <v>123</v>
          </cell>
          <cell r="E27">
            <v>0</v>
          </cell>
          <cell r="F27">
            <v>0</v>
          </cell>
          <cell r="I27">
            <v>0</v>
          </cell>
          <cell r="J27">
            <v>0</v>
          </cell>
        </row>
        <row r="28">
          <cell r="B28">
            <v>123</v>
          </cell>
          <cell r="E28">
            <v>0</v>
          </cell>
          <cell r="F28">
            <v>0</v>
          </cell>
          <cell r="I28">
            <v>0</v>
          </cell>
          <cell r="J28">
            <v>0</v>
          </cell>
        </row>
        <row r="29">
          <cell r="B29">
            <v>135</v>
          </cell>
          <cell r="E29">
            <v>0</v>
          </cell>
          <cell r="F29">
            <v>0</v>
          </cell>
          <cell r="I29">
            <v>0</v>
          </cell>
          <cell r="J29">
            <v>0</v>
          </cell>
        </row>
        <row r="30">
          <cell r="B30">
            <v>123</v>
          </cell>
          <cell r="E30">
            <v>0</v>
          </cell>
          <cell r="F30">
            <v>0</v>
          </cell>
          <cell r="I30">
            <v>0</v>
          </cell>
          <cell r="J30">
            <v>0</v>
          </cell>
        </row>
        <row r="31">
          <cell r="B31">
            <v>131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</row>
        <row r="32">
          <cell r="E32">
            <v>0</v>
          </cell>
          <cell r="F32">
            <v>0</v>
          </cell>
          <cell r="I32">
            <v>259300000</v>
          </cell>
          <cell r="J32">
            <v>0</v>
          </cell>
        </row>
        <row r="33">
          <cell r="B33">
            <v>152</v>
          </cell>
          <cell r="E33">
            <v>0</v>
          </cell>
          <cell r="F33">
            <v>0</v>
          </cell>
          <cell r="I33">
            <v>259300000</v>
          </cell>
          <cell r="J33">
            <v>0</v>
          </cell>
        </row>
        <row r="34">
          <cell r="B34">
            <v>152</v>
          </cell>
          <cell r="E34">
            <v>0</v>
          </cell>
          <cell r="F34">
            <v>0</v>
          </cell>
          <cell r="I34">
            <v>0</v>
          </cell>
          <cell r="J34">
            <v>0</v>
          </cell>
        </row>
        <row r="35">
          <cell r="E35">
            <v>0</v>
          </cell>
          <cell r="F35">
            <v>0</v>
          </cell>
          <cell r="I35">
            <v>0</v>
          </cell>
          <cell r="J35">
            <v>0</v>
          </cell>
        </row>
        <row r="36">
          <cell r="B36">
            <v>133</v>
          </cell>
          <cell r="E36">
            <v>0</v>
          </cell>
          <cell r="F36">
            <v>0</v>
          </cell>
          <cell r="I36">
            <v>0</v>
          </cell>
          <cell r="J36">
            <v>0</v>
          </cell>
        </row>
        <row r="37">
          <cell r="B37">
            <v>133</v>
          </cell>
          <cell r="E37">
            <v>0</v>
          </cell>
          <cell r="F37">
            <v>0</v>
          </cell>
          <cell r="I37">
            <v>0</v>
          </cell>
          <cell r="J37">
            <v>0</v>
          </cell>
        </row>
        <row r="38">
          <cell r="B38">
            <v>133</v>
          </cell>
          <cell r="E38">
            <v>0</v>
          </cell>
          <cell r="F38">
            <v>0</v>
          </cell>
          <cell r="I38">
            <v>0</v>
          </cell>
          <cell r="J38">
            <v>0</v>
          </cell>
        </row>
        <row r="39">
          <cell r="B39">
            <v>133</v>
          </cell>
          <cell r="E39">
            <v>0</v>
          </cell>
          <cell r="F39">
            <v>0</v>
          </cell>
          <cell r="I39">
            <v>0</v>
          </cell>
          <cell r="J39">
            <v>0</v>
          </cell>
        </row>
        <row r="40">
          <cell r="E40">
            <v>0</v>
          </cell>
          <cell r="F40">
            <v>0</v>
          </cell>
          <cell r="I40">
            <v>0</v>
          </cell>
          <cell r="J40">
            <v>0</v>
          </cell>
        </row>
        <row r="41">
          <cell r="B41">
            <v>137</v>
          </cell>
          <cell r="E41">
            <v>0</v>
          </cell>
          <cell r="F41">
            <v>0</v>
          </cell>
          <cell r="I41">
            <v>0</v>
          </cell>
          <cell r="J41">
            <v>0</v>
          </cell>
        </row>
        <row r="42">
          <cell r="B42">
            <v>136</v>
          </cell>
          <cell r="E42">
            <v>0</v>
          </cell>
          <cell r="F42">
            <v>0</v>
          </cell>
          <cell r="I42">
            <v>0</v>
          </cell>
          <cell r="J42">
            <v>0</v>
          </cell>
        </row>
        <row r="43">
          <cell r="B43">
            <v>136</v>
          </cell>
          <cell r="E43">
            <v>0</v>
          </cell>
          <cell r="F43">
            <v>0</v>
          </cell>
          <cell r="I43">
            <v>0</v>
          </cell>
          <cell r="J43">
            <v>0</v>
          </cell>
        </row>
        <row r="44">
          <cell r="B44">
            <v>136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45">
          <cell r="B45">
            <v>141</v>
          </cell>
          <cell r="E45">
            <v>0</v>
          </cell>
          <cell r="F45">
            <v>0</v>
          </cell>
          <cell r="I45">
            <v>0</v>
          </cell>
          <cell r="J45">
            <v>0</v>
          </cell>
        </row>
        <row r="46">
          <cell r="B46">
            <v>141</v>
          </cell>
          <cell r="E46">
            <v>0</v>
          </cell>
          <cell r="F46">
            <v>0</v>
          </cell>
          <cell r="I46">
            <v>0</v>
          </cell>
          <cell r="J46">
            <v>0</v>
          </cell>
        </row>
        <row r="47">
          <cell r="E47">
            <v>0</v>
          </cell>
          <cell r="F47">
            <v>0</v>
          </cell>
          <cell r="I47">
            <v>0</v>
          </cell>
          <cell r="J47">
            <v>0</v>
          </cell>
        </row>
        <row r="48">
          <cell r="B48">
            <v>141</v>
          </cell>
          <cell r="E48">
            <v>0</v>
          </cell>
          <cell r="F48">
            <v>0</v>
          </cell>
          <cell r="I48">
            <v>0</v>
          </cell>
          <cell r="J48">
            <v>0</v>
          </cell>
        </row>
        <row r="49">
          <cell r="B49">
            <v>141</v>
          </cell>
          <cell r="E49">
            <v>0</v>
          </cell>
          <cell r="F49">
            <v>0</v>
          </cell>
          <cell r="I49">
            <v>0</v>
          </cell>
          <cell r="J49">
            <v>0</v>
          </cell>
        </row>
        <row r="50">
          <cell r="B50">
            <v>141</v>
          </cell>
          <cell r="E50">
            <v>0</v>
          </cell>
          <cell r="F50">
            <v>0</v>
          </cell>
          <cell r="I50">
            <v>0</v>
          </cell>
          <cell r="J50">
            <v>0</v>
          </cell>
        </row>
        <row r="51">
          <cell r="B51">
            <v>141</v>
          </cell>
          <cell r="E51">
            <v>0</v>
          </cell>
          <cell r="F51">
            <v>0</v>
          </cell>
          <cell r="I51">
            <v>0</v>
          </cell>
          <cell r="J51">
            <v>0</v>
          </cell>
        </row>
        <row r="52">
          <cell r="B52">
            <v>141</v>
          </cell>
          <cell r="E52">
            <v>0</v>
          </cell>
          <cell r="F52">
            <v>0</v>
          </cell>
          <cell r="I52">
            <v>33361111</v>
          </cell>
          <cell r="J52">
            <v>0</v>
          </cell>
        </row>
        <row r="53">
          <cell r="E53">
            <v>0</v>
          </cell>
          <cell r="F53">
            <v>0</v>
          </cell>
          <cell r="I53">
            <v>0</v>
          </cell>
          <cell r="J53">
            <v>0</v>
          </cell>
        </row>
        <row r="54">
          <cell r="B54">
            <v>141</v>
          </cell>
          <cell r="E54">
            <v>0</v>
          </cell>
          <cell r="F54">
            <v>0</v>
          </cell>
          <cell r="I54">
            <v>0</v>
          </cell>
          <cell r="J54">
            <v>0</v>
          </cell>
        </row>
        <row r="55">
          <cell r="B55">
            <v>141</v>
          </cell>
          <cell r="E55">
            <v>0</v>
          </cell>
          <cell r="F55">
            <v>0</v>
          </cell>
          <cell r="I55">
            <v>0</v>
          </cell>
          <cell r="J55">
            <v>0</v>
          </cell>
        </row>
        <row r="56">
          <cell r="E56">
            <v>0</v>
          </cell>
          <cell r="F56">
            <v>0</v>
          </cell>
          <cell r="I56">
            <v>0</v>
          </cell>
          <cell r="J56">
            <v>0</v>
          </cell>
        </row>
        <row r="57">
          <cell r="B57">
            <v>141</v>
          </cell>
          <cell r="E57">
            <v>0</v>
          </cell>
          <cell r="F57">
            <v>0</v>
          </cell>
          <cell r="I57">
            <v>0</v>
          </cell>
          <cell r="J57">
            <v>0</v>
          </cell>
        </row>
        <row r="58">
          <cell r="B58">
            <v>141</v>
          </cell>
          <cell r="E58">
            <v>0</v>
          </cell>
          <cell r="F58">
            <v>0</v>
          </cell>
          <cell r="I58">
            <v>0</v>
          </cell>
          <cell r="J58">
            <v>0</v>
          </cell>
        </row>
        <row r="59">
          <cell r="B59">
            <v>141</v>
          </cell>
          <cell r="E59">
            <v>0</v>
          </cell>
          <cell r="F59">
            <v>0</v>
          </cell>
          <cell r="I59">
            <v>0</v>
          </cell>
          <cell r="J59">
            <v>0</v>
          </cell>
        </row>
        <row r="60">
          <cell r="B60">
            <v>141</v>
          </cell>
          <cell r="E60">
            <v>0</v>
          </cell>
          <cell r="F60">
            <v>0</v>
          </cell>
          <cell r="I60">
            <v>0</v>
          </cell>
          <cell r="J60">
            <v>0</v>
          </cell>
        </row>
        <row r="61">
          <cell r="B61">
            <v>141</v>
          </cell>
          <cell r="E61">
            <v>0</v>
          </cell>
          <cell r="F61">
            <v>0</v>
          </cell>
          <cell r="I61">
            <v>0</v>
          </cell>
          <cell r="J61">
            <v>0</v>
          </cell>
        </row>
        <row r="62">
          <cell r="B62" t="str">
            <v>154</v>
          </cell>
          <cell r="E62">
            <v>0</v>
          </cell>
          <cell r="F62">
            <v>0</v>
          </cell>
          <cell r="I62">
            <v>0</v>
          </cell>
          <cell r="J62">
            <v>0</v>
          </cell>
        </row>
        <row r="63">
          <cell r="E63">
            <v>0</v>
          </cell>
          <cell r="F63">
            <v>0</v>
          </cell>
          <cell r="I63">
            <v>2500000000</v>
          </cell>
          <cell r="J63">
            <v>0</v>
          </cell>
        </row>
        <row r="64">
          <cell r="B64">
            <v>222</v>
          </cell>
          <cell r="E64">
            <v>0</v>
          </cell>
          <cell r="F64">
            <v>0</v>
          </cell>
          <cell r="I64">
            <v>0</v>
          </cell>
          <cell r="J64">
            <v>0</v>
          </cell>
        </row>
        <row r="65">
          <cell r="B65">
            <v>222</v>
          </cell>
          <cell r="E65">
            <v>0</v>
          </cell>
          <cell r="F65">
            <v>0</v>
          </cell>
          <cell r="I65">
            <v>0</v>
          </cell>
          <cell r="J65">
            <v>0</v>
          </cell>
        </row>
        <row r="66">
          <cell r="B66">
            <v>222</v>
          </cell>
          <cell r="E66">
            <v>0</v>
          </cell>
          <cell r="F66">
            <v>0</v>
          </cell>
          <cell r="I66">
            <v>2500000000</v>
          </cell>
          <cell r="J66">
            <v>0</v>
          </cell>
        </row>
        <row r="67">
          <cell r="B67">
            <v>222</v>
          </cell>
          <cell r="E67">
            <v>0</v>
          </cell>
          <cell r="F67">
            <v>0</v>
          </cell>
          <cell r="I67">
            <v>0</v>
          </cell>
          <cell r="J67">
            <v>0</v>
          </cell>
        </row>
        <row r="68">
          <cell r="B68">
            <v>222</v>
          </cell>
          <cell r="E68">
            <v>0</v>
          </cell>
          <cell r="F68">
            <v>0</v>
          </cell>
          <cell r="I68">
            <v>0</v>
          </cell>
          <cell r="J68">
            <v>0</v>
          </cell>
        </row>
        <row r="69">
          <cell r="B69">
            <v>222</v>
          </cell>
          <cell r="E69">
            <v>0</v>
          </cell>
          <cell r="F69">
            <v>0</v>
          </cell>
          <cell r="I69">
            <v>0</v>
          </cell>
          <cell r="J69">
            <v>0</v>
          </cell>
        </row>
        <row r="70">
          <cell r="E70">
            <v>0</v>
          </cell>
          <cell r="F70">
            <v>0</v>
          </cell>
          <cell r="I70">
            <v>0</v>
          </cell>
          <cell r="J70">
            <v>0</v>
          </cell>
        </row>
        <row r="71">
          <cell r="B71" t="str">
            <v>225</v>
          </cell>
          <cell r="E71">
            <v>0</v>
          </cell>
          <cell r="F71">
            <v>0</v>
          </cell>
          <cell r="I71">
            <v>0</v>
          </cell>
          <cell r="J71">
            <v>0</v>
          </cell>
        </row>
        <row r="72">
          <cell r="B72" t="str">
            <v>225</v>
          </cell>
          <cell r="E72">
            <v>0</v>
          </cell>
          <cell r="F72">
            <v>0</v>
          </cell>
          <cell r="I72">
            <v>0</v>
          </cell>
          <cell r="J72">
            <v>0</v>
          </cell>
        </row>
        <row r="73">
          <cell r="E73">
            <v>0</v>
          </cell>
          <cell r="F73">
            <v>0</v>
          </cell>
          <cell r="I73">
            <v>0</v>
          </cell>
          <cell r="J73">
            <v>0</v>
          </cell>
        </row>
        <row r="74">
          <cell r="B74">
            <v>228</v>
          </cell>
          <cell r="E74">
            <v>0</v>
          </cell>
          <cell r="F74">
            <v>0</v>
          </cell>
          <cell r="I74">
            <v>0</v>
          </cell>
          <cell r="J74">
            <v>0</v>
          </cell>
        </row>
        <row r="75">
          <cell r="B75">
            <v>228</v>
          </cell>
          <cell r="E75">
            <v>0</v>
          </cell>
          <cell r="F75">
            <v>0</v>
          </cell>
          <cell r="I75">
            <v>0</v>
          </cell>
          <cell r="J75">
            <v>0</v>
          </cell>
        </row>
        <row r="76">
          <cell r="B76">
            <v>228</v>
          </cell>
          <cell r="E76">
            <v>0</v>
          </cell>
          <cell r="F76">
            <v>0</v>
          </cell>
          <cell r="I76">
            <v>0</v>
          </cell>
          <cell r="J76">
            <v>0</v>
          </cell>
        </row>
        <row r="77">
          <cell r="B77">
            <v>228</v>
          </cell>
          <cell r="E77">
            <v>0</v>
          </cell>
          <cell r="F77">
            <v>0</v>
          </cell>
          <cell r="I77">
            <v>0</v>
          </cell>
          <cell r="J77">
            <v>0</v>
          </cell>
        </row>
        <row r="78">
          <cell r="B78">
            <v>228</v>
          </cell>
          <cell r="E78">
            <v>0</v>
          </cell>
          <cell r="F78">
            <v>0</v>
          </cell>
          <cell r="I78">
            <v>0</v>
          </cell>
          <cell r="J78">
            <v>0</v>
          </cell>
        </row>
        <row r="79">
          <cell r="B79">
            <v>228</v>
          </cell>
          <cell r="E79">
            <v>0</v>
          </cell>
          <cell r="F79">
            <v>0</v>
          </cell>
          <cell r="I79">
            <v>0</v>
          </cell>
          <cell r="J79">
            <v>0</v>
          </cell>
        </row>
        <row r="80">
          <cell r="B80">
            <v>228</v>
          </cell>
          <cell r="E80">
            <v>0</v>
          </cell>
          <cell r="F80">
            <v>0</v>
          </cell>
          <cell r="I80">
            <v>0</v>
          </cell>
          <cell r="J80">
            <v>0</v>
          </cell>
        </row>
        <row r="81">
          <cell r="E81">
            <v>0</v>
          </cell>
          <cell r="F81">
            <v>0</v>
          </cell>
          <cell r="I81">
            <v>0</v>
          </cell>
          <cell r="J81">
            <v>41666667</v>
          </cell>
        </row>
        <row r="82">
          <cell r="B82">
            <v>223</v>
          </cell>
          <cell r="E82">
            <v>0</v>
          </cell>
          <cell r="F82">
            <v>0</v>
          </cell>
          <cell r="I82">
            <v>0</v>
          </cell>
          <cell r="J82">
            <v>41666667</v>
          </cell>
        </row>
        <row r="83">
          <cell r="B83">
            <v>226</v>
          </cell>
          <cell r="E83">
            <v>0</v>
          </cell>
          <cell r="F83">
            <v>0</v>
          </cell>
          <cell r="I83">
            <v>0</v>
          </cell>
          <cell r="J83">
            <v>0</v>
          </cell>
        </row>
        <row r="84">
          <cell r="B84">
            <v>229</v>
          </cell>
          <cell r="E84">
            <v>0</v>
          </cell>
          <cell r="F84">
            <v>0</v>
          </cell>
          <cell r="I84">
            <v>0</v>
          </cell>
          <cell r="J84">
            <v>0</v>
          </cell>
        </row>
        <row r="85">
          <cell r="B85" t="str">
            <v>232</v>
          </cell>
          <cell r="E85">
            <v>0</v>
          </cell>
          <cell r="F85">
            <v>0</v>
          </cell>
          <cell r="I85">
            <v>0</v>
          </cell>
          <cell r="J85">
            <v>0</v>
          </cell>
        </row>
        <row r="86">
          <cell r="B86" t="str">
            <v>231</v>
          </cell>
          <cell r="E86">
            <v>0</v>
          </cell>
          <cell r="F86">
            <v>0</v>
          </cell>
          <cell r="I86">
            <v>0</v>
          </cell>
          <cell r="J86">
            <v>0</v>
          </cell>
        </row>
        <row r="87">
          <cell r="B87">
            <v>251</v>
          </cell>
          <cell r="E87">
            <v>0</v>
          </cell>
          <cell r="F87">
            <v>0</v>
          </cell>
          <cell r="I87">
            <v>0</v>
          </cell>
          <cell r="J87">
            <v>0</v>
          </cell>
        </row>
        <row r="88">
          <cell r="B88">
            <v>252</v>
          </cell>
          <cell r="E88">
            <v>0</v>
          </cell>
          <cell r="F88">
            <v>0</v>
          </cell>
          <cell r="I88">
            <v>0</v>
          </cell>
          <cell r="J88">
            <v>0</v>
          </cell>
        </row>
        <row r="89">
          <cell r="E89">
            <v>0</v>
          </cell>
          <cell r="F89">
            <v>0</v>
          </cell>
          <cell r="I89">
            <v>0</v>
          </cell>
          <cell r="J89">
            <v>0</v>
          </cell>
        </row>
        <row r="90">
          <cell r="B90">
            <v>253</v>
          </cell>
          <cell r="E90">
            <v>0</v>
          </cell>
          <cell r="F90">
            <v>0</v>
          </cell>
          <cell r="I90">
            <v>0</v>
          </cell>
          <cell r="J90">
            <v>0</v>
          </cell>
        </row>
        <row r="91">
          <cell r="B91" t="str">
            <v>155</v>
          </cell>
          <cell r="E91">
            <v>0</v>
          </cell>
          <cell r="F91">
            <v>0</v>
          </cell>
          <cell r="I91">
            <v>0</v>
          </cell>
          <cell r="J91">
            <v>0</v>
          </cell>
        </row>
        <row r="92">
          <cell r="E92">
            <v>0</v>
          </cell>
          <cell r="F92">
            <v>0</v>
          </cell>
          <cell r="I92">
            <v>0</v>
          </cell>
          <cell r="J92">
            <v>0</v>
          </cell>
        </row>
        <row r="93">
          <cell r="B93">
            <v>122</v>
          </cell>
          <cell r="E93">
            <v>0</v>
          </cell>
          <cell r="F93">
            <v>0</v>
          </cell>
          <cell r="I93">
            <v>0</v>
          </cell>
          <cell r="J93">
            <v>0</v>
          </cell>
        </row>
        <row r="94">
          <cell r="B94">
            <v>254</v>
          </cell>
          <cell r="E94">
            <v>0</v>
          </cell>
          <cell r="F94">
            <v>0</v>
          </cell>
          <cell r="I94">
            <v>0</v>
          </cell>
          <cell r="J94">
            <v>0</v>
          </cell>
        </row>
        <row r="95">
          <cell r="B95">
            <v>139</v>
          </cell>
          <cell r="E95">
            <v>0</v>
          </cell>
          <cell r="F95">
            <v>0</v>
          </cell>
          <cell r="I95">
            <v>0</v>
          </cell>
          <cell r="J95">
            <v>0</v>
          </cell>
        </row>
        <row r="96">
          <cell r="B96">
            <v>149</v>
          </cell>
          <cell r="E96">
            <v>0</v>
          </cell>
          <cell r="F96">
            <v>0</v>
          </cell>
          <cell r="I96">
            <v>0</v>
          </cell>
          <cell r="J96">
            <v>0</v>
          </cell>
        </row>
        <row r="97">
          <cell r="E97">
            <v>0</v>
          </cell>
          <cell r="F97">
            <v>0</v>
          </cell>
          <cell r="I97">
            <v>0</v>
          </cell>
          <cell r="J97">
            <v>0</v>
          </cell>
        </row>
        <row r="98">
          <cell r="B98" t="str">
            <v>242</v>
          </cell>
          <cell r="E98">
            <v>0</v>
          </cell>
          <cell r="F98">
            <v>0</v>
          </cell>
          <cell r="I98">
            <v>0</v>
          </cell>
          <cell r="J98">
            <v>0</v>
          </cell>
        </row>
        <row r="99">
          <cell r="B99" t="str">
            <v>242</v>
          </cell>
          <cell r="E99">
            <v>0</v>
          </cell>
          <cell r="F99">
            <v>0</v>
          </cell>
          <cell r="I99">
            <v>0</v>
          </cell>
          <cell r="J99">
            <v>0</v>
          </cell>
        </row>
        <row r="100">
          <cell r="B100" t="str">
            <v>242</v>
          </cell>
          <cell r="E100">
            <v>0</v>
          </cell>
          <cell r="F100">
            <v>0</v>
          </cell>
          <cell r="I100">
            <v>0</v>
          </cell>
          <cell r="J100">
            <v>0</v>
          </cell>
        </row>
        <row r="101">
          <cell r="E101">
            <v>0</v>
          </cell>
          <cell r="F101">
            <v>0</v>
          </cell>
          <cell r="I101">
            <v>59055556</v>
          </cell>
          <cell r="J101">
            <v>0</v>
          </cell>
        </row>
        <row r="102">
          <cell r="B102">
            <v>151</v>
          </cell>
          <cell r="E102">
            <v>0</v>
          </cell>
          <cell r="F102">
            <v>0</v>
          </cell>
          <cell r="I102">
            <v>8166667</v>
          </cell>
          <cell r="J102">
            <v>0</v>
          </cell>
        </row>
        <row r="103">
          <cell r="B103">
            <v>261</v>
          </cell>
          <cell r="E103">
            <v>0</v>
          </cell>
          <cell r="F103">
            <v>0</v>
          </cell>
          <cell r="I103">
            <v>50888889</v>
          </cell>
          <cell r="J103">
            <v>0</v>
          </cell>
        </row>
        <row r="104">
          <cell r="B104">
            <v>262</v>
          </cell>
          <cell r="E104">
            <v>0</v>
          </cell>
          <cell r="F104">
            <v>0</v>
          </cell>
          <cell r="I104">
            <v>0</v>
          </cell>
          <cell r="J104">
            <v>0</v>
          </cell>
        </row>
        <row r="105">
          <cell r="B105">
            <v>216</v>
          </cell>
          <cell r="E105">
            <v>0</v>
          </cell>
          <cell r="F105">
            <v>0</v>
          </cell>
          <cell r="I105">
            <v>0</v>
          </cell>
          <cell r="J105">
            <v>0</v>
          </cell>
        </row>
        <row r="106">
          <cell r="B106">
            <v>311</v>
          </cell>
          <cell r="E106">
            <v>0</v>
          </cell>
          <cell r="F106">
            <v>0</v>
          </cell>
          <cell r="I106">
            <v>0</v>
          </cell>
          <cell r="J106">
            <v>1877500000</v>
          </cell>
        </row>
        <row r="107">
          <cell r="E107">
            <v>0</v>
          </cell>
          <cell r="F107">
            <v>0</v>
          </cell>
          <cell r="I107">
            <v>0</v>
          </cell>
          <cell r="J107">
            <v>2000000</v>
          </cell>
        </row>
        <row r="108">
          <cell r="B108" t="str">
            <v>313</v>
          </cell>
          <cell r="E108">
            <v>0</v>
          </cell>
          <cell r="F108">
            <v>0</v>
          </cell>
          <cell r="I108">
            <v>0</v>
          </cell>
          <cell r="J108">
            <v>2000000</v>
          </cell>
        </row>
        <row r="109">
          <cell r="B109" t="str">
            <v>313</v>
          </cell>
          <cell r="E109">
            <v>0</v>
          </cell>
          <cell r="F109">
            <v>0</v>
          </cell>
          <cell r="I109">
            <v>0</v>
          </cell>
          <cell r="J109">
            <v>0</v>
          </cell>
        </row>
        <row r="110">
          <cell r="B110" t="str">
            <v>313</v>
          </cell>
          <cell r="E110">
            <v>0</v>
          </cell>
          <cell r="F110">
            <v>0</v>
          </cell>
          <cell r="I110">
            <v>0</v>
          </cell>
          <cell r="J110">
            <v>0</v>
          </cell>
        </row>
        <row r="111">
          <cell r="B111" t="str">
            <v>313</v>
          </cell>
          <cell r="E111">
            <v>0</v>
          </cell>
          <cell r="F111">
            <v>0</v>
          </cell>
          <cell r="I111">
            <v>0</v>
          </cell>
          <cell r="J111">
            <v>0</v>
          </cell>
        </row>
        <row r="112">
          <cell r="B112" t="str">
            <v>313</v>
          </cell>
          <cell r="E112">
            <v>0</v>
          </cell>
          <cell r="F112">
            <v>0</v>
          </cell>
          <cell r="I112">
            <v>0</v>
          </cell>
          <cell r="J112">
            <v>0</v>
          </cell>
        </row>
        <row r="113">
          <cell r="B113" t="str">
            <v>313</v>
          </cell>
          <cell r="I113">
            <v>0</v>
          </cell>
          <cell r="J113">
            <v>0</v>
          </cell>
        </row>
        <row r="114">
          <cell r="B114" t="str">
            <v>313</v>
          </cell>
          <cell r="I114">
            <v>0</v>
          </cell>
          <cell r="J114">
            <v>0</v>
          </cell>
        </row>
        <row r="115">
          <cell r="B115" t="str">
            <v>313</v>
          </cell>
          <cell r="I115">
            <v>0</v>
          </cell>
          <cell r="J115">
            <v>0</v>
          </cell>
        </row>
        <row r="116">
          <cell r="B116" t="str">
            <v>313</v>
          </cell>
          <cell r="I116">
            <v>0</v>
          </cell>
          <cell r="J116">
            <v>0</v>
          </cell>
        </row>
        <row r="117">
          <cell r="B117" t="str">
            <v>313</v>
          </cell>
          <cell r="I117">
            <v>0</v>
          </cell>
          <cell r="J117">
            <v>0</v>
          </cell>
        </row>
        <row r="118">
          <cell r="E118">
            <v>0</v>
          </cell>
          <cell r="F118">
            <v>0</v>
          </cell>
          <cell r="I118">
            <v>0</v>
          </cell>
          <cell r="J118">
            <v>0</v>
          </cell>
        </row>
        <row r="119">
          <cell r="B119" t="str">
            <v>314</v>
          </cell>
          <cell r="E119">
            <v>0</v>
          </cell>
          <cell r="F119">
            <v>0</v>
          </cell>
          <cell r="I119">
            <v>0</v>
          </cell>
          <cell r="J119">
            <v>0</v>
          </cell>
        </row>
        <row r="120">
          <cell r="B120" t="str">
            <v>314</v>
          </cell>
          <cell r="E120">
            <v>0</v>
          </cell>
          <cell r="F120">
            <v>0</v>
          </cell>
          <cell r="I120">
            <v>0</v>
          </cell>
          <cell r="J120">
            <v>0</v>
          </cell>
        </row>
        <row r="121">
          <cell r="B121" t="str">
            <v>315</v>
          </cell>
          <cell r="E121">
            <v>0</v>
          </cell>
          <cell r="F121">
            <v>0</v>
          </cell>
          <cell r="I121">
            <v>0</v>
          </cell>
          <cell r="J121">
            <v>0</v>
          </cell>
        </row>
        <row r="122">
          <cell r="E122">
            <v>0</v>
          </cell>
          <cell r="F122">
            <v>0</v>
          </cell>
          <cell r="I122">
            <v>0</v>
          </cell>
          <cell r="J122">
            <v>0</v>
          </cell>
        </row>
        <row r="123">
          <cell r="B123" t="str">
            <v>334</v>
          </cell>
          <cell r="I123">
            <v>0</v>
          </cell>
          <cell r="J123">
            <v>0</v>
          </cell>
        </row>
        <row r="124">
          <cell r="B124" t="str">
            <v>316</v>
          </cell>
          <cell r="I124">
            <v>0</v>
          </cell>
          <cell r="J124">
            <v>0</v>
          </cell>
        </row>
        <row r="125">
          <cell r="B125" t="str">
            <v>316</v>
          </cell>
          <cell r="I125">
            <v>0</v>
          </cell>
          <cell r="J125">
            <v>0</v>
          </cell>
        </row>
        <row r="126">
          <cell r="B126" t="str">
            <v>316</v>
          </cell>
          <cell r="I126">
            <v>0</v>
          </cell>
          <cell r="J126">
            <v>0</v>
          </cell>
        </row>
        <row r="127">
          <cell r="B127" t="str">
            <v>317</v>
          </cell>
          <cell r="I127">
            <v>0</v>
          </cell>
          <cell r="J127">
            <v>0</v>
          </cell>
        </row>
        <row r="128">
          <cell r="E128">
            <v>0</v>
          </cell>
          <cell r="F128">
            <v>0</v>
          </cell>
          <cell r="I128">
            <v>0</v>
          </cell>
          <cell r="J128">
            <v>0</v>
          </cell>
        </row>
        <row r="129">
          <cell r="B129" t="str">
            <v>319</v>
          </cell>
          <cell r="I129">
            <v>0</v>
          </cell>
          <cell r="J129">
            <v>0</v>
          </cell>
        </row>
        <row r="130">
          <cell r="B130" t="str">
            <v>319</v>
          </cell>
          <cell r="I130">
            <v>0</v>
          </cell>
          <cell r="J130">
            <v>0</v>
          </cell>
        </row>
        <row r="131">
          <cell r="B131" t="str">
            <v>319</v>
          </cell>
          <cell r="I131">
            <v>0</v>
          </cell>
          <cell r="J131">
            <v>0</v>
          </cell>
        </row>
        <row r="132">
          <cell r="B132" t="str">
            <v>319</v>
          </cell>
          <cell r="I132">
            <v>0</v>
          </cell>
          <cell r="J132">
            <v>0</v>
          </cell>
        </row>
        <row r="133">
          <cell r="B133" t="str">
            <v>319</v>
          </cell>
          <cell r="I133">
            <v>0</v>
          </cell>
          <cell r="J133">
            <v>0</v>
          </cell>
        </row>
        <row r="134">
          <cell r="B134" t="str">
            <v>319</v>
          </cell>
          <cell r="I134">
            <v>0</v>
          </cell>
          <cell r="J134">
            <v>0</v>
          </cell>
        </row>
        <row r="135">
          <cell r="B135" t="str">
            <v>318</v>
          </cell>
          <cell r="I135">
            <v>0</v>
          </cell>
          <cell r="J135">
            <v>0</v>
          </cell>
        </row>
        <row r="136">
          <cell r="B136" t="str">
            <v>319</v>
          </cell>
          <cell r="I136">
            <v>0</v>
          </cell>
          <cell r="J136">
            <v>0</v>
          </cell>
        </row>
        <row r="137">
          <cell r="E137">
            <v>0</v>
          </cell>
          <cell r="F137">
            <v>0</v>
          </cell>
          <cell r="I137">
            <v>0</v>
          </cell>
          <cell r="J137">
            <v>0</v>
          </cell>
        </row>
        <row r="138">
          <cell r="B138" t="str">
            <v>320</v>
          </cell>
          <cell r="I138">
            <v>0</v>
          </cell>
          <cell r="J138">
            <v>0</v>
          </cell>
        </row>
        <row r="139">
          <cell r="B139" t="str">
            <v>320</v>
          </cell>
          <cell r="I139">
            <v>0</v>
          </cell>
          <cell r="J139">
            <v>0</v>
          </cell>
        </row>
        <row r="140">
          <cell r="E140">
            <v>0</v>
          </cell>
          <cell r="F140">
            <v>0</v>
          </cell>
          <cell r="I140">
            <v>0</v>
          </cell>
          <cell r="J140">
            <v>0</v>
          </cell>
        </row>
        <row r="141">
          <cell r="B141" t="str">
            <v>320</v>
          </cell>
          <cell r="I141">
            <v>0</v>
          </cell>
          <cell r="J141">
            <v>0</v>
          </cell>
        </row>
        <row r="142">
          <cell r="B142" t="str">
            <v>320</v>
          </cell>
          <cell r="I142">
            <v>0</v>
          </cell>
          <cell r="J142">
            <v>0</v>
          </cell>
        </row>
        <row r="143">
          <cell r="B143" t="str">
            <v>338</v>
          </cell>
          <cell r="I143">
            <v>0</v>
          </cell>
          <cell r="J143">
            <v>0</v>
          </cell>
        </row>
        <row r="144">
          <cell r="B144" t="str">
            <v>339</v>
          </cell>
          <cell r="I144">
            <v>0</v>
          </cell>
          <cell r="J144">
            <v>0</v>
          </cell>
        </row>
        <row r="145">
          <cell r="B145" t="str">
            <v>319</v>
          </cell>
          <cell r="I145">
            <v>0</v>
          </cell>
          <cell r="J145">
            <v>0</v>
          </cell>
        </row>
        <row r="146">
          <cell r="B146" t="str">
            <v>341</v>
          </cell>
          <cell r="I146">
            <v>0</v>
          </cell>
          <cell r="J146">
            <v>0</v>
          </cell>
        </row>
        <row r="147">
          <cell r="E147">
            <v>0</v>
          </cell>
          <cell r="F147">
            <v>0</v>
          </cell>
          <cell r="I147">
            <v>0</v>
          </cell>
          <cell r="J147">
            <v>0</v>
          </cell>
        </row>
        <row r="148">
          <cell r="B148" t="str">
            <v>321</v>
          </cell>
          <cell r="I148">
            <v>0</v>
          </cell>
          <cell r="J148">
            <v>0</v>
          </cell>
        </row>
        <row r="149">
          <cell r="B149" t="str">
            <v>321</v>
          </cell>
          <cell r="I149">
            <v>0</v>
          </cell>
          <cell r="J149">
            <v>0</v>
          </cell>
        </row>
        <row r="150">
          <cell r="B150" t="str">
            <v>321</v>
          </cell>
          <cell r="I150">
            <v>0</v>
          </cell>
          <cell r="J150">
            <v>0</v>
          </cell>
        </row>
        <row r="151">
          <cell r="B151" t="str">
            <v>321</v>
          </cell>
          <cell r="I151">
            <v>0</v>
          </cell>
          <cell r="J151">
            <v>0</v>
          </cell>
        </row>
        <row r="152">
          <cell r="E152">
            <v>0</v>
          </cell>
          <cell r="F152">
            <v>0</v>
          </cell>
          <cell r="I152">
            <v>0</v>
          </cell>
          <cell r="J152">
            <v>0</v>
          </cell>
        </row>
        <row r="153">
          <cell r="B153" t="str">
            <v>322</v>
          </cell>
          <cell r="I153">
            <v>0</v>
          </cell>
          <cell r="J153">
            <v>0</v>
          </cell>
        </row>
        <row r="154">
          <cell r="B154" t="str">
            <v>322</v>
          </cell>
          <cell r="I154">
            <v>0</v>
          </cell>
          <cell r="J154">
            <v>0</v>
          </cell>
        </row>
        <row r="155">
          <cell r="B155" t="str">
            <v>322</v>
          </cell>
          <cell r="I155">
            <v>0</v>
          </cell>
          <cell r="J155">
            <v>0</v>
          </cell>
        </row>
        <row r="156">
          <cell r="B156" t="str">
            <v>322</v>
          </cell>
          <cell r="I156">
            <v>0</v>
          </cell>
          <cell r="J156">
            <v>0</v>
          </cell>
        </row>
        <row r="157">
          <cell r="E157">
            <v>0</v>
          </cell>
          <cell r="F157">
            <v>0</v>
          </cell>
          <cell r="I157">
            <v>0</v>
          </cell>
          <cell r="J157">
            <v>0</v>
          </cell>
        </row>
        <row r="158">
          <cell r="B158" t="str">
            <v>343</v>
          </cell>
          <cell r="I158">
            <v>0</v>
          </cell>
          <cell r="J158">
            <v>0</v>
          </cell>
        </row>
        <row r="159">
          <cell r="B159" t="str">
            <v>343</v>
          </cell>
          <cell r="I159">
            <v>0</v>
          </cell>
          <cell r="J159">
            <v>0</v>
          </cell>
        </row>
        <row r="160">
          <cell r="B160" t="str">
            <v>323</v>
          </cell>
          <cell r="I160">
            <v>0</v>
          </cell>
          <cell r="J160">
            <v>0</v>
          </cell>
        </row>
        <row r="161">
          <cell r="E161">
            <v>0</v>
          </cell>
          <cell r="F161">
            <v>0</v>
          </cell>
          <cell r="I161">
            <v>0</v>
          </cell>
          <cell r="J161">
            <v>19000000000</v>
          </cell>
        </row>
        <row r="162">
          <cell r="B162">
            <v>411</v>
          </cell>
          <cell r="I162">
            <v>0</v>
          </cell>
          <cell r="J162">
            <v>19000000000</v>
          </cell>
        </row>
        <row r="163">
          <cell r="B163">
            <v>412</v>
          </cell>
          <cell r="I163">
            <v>0</v>
          </cell>
          <cell r="J163">
            <v>0</v>
          </cell>
        </row>
        <row r="164">
          <cell r="B164">
            <v>413</v>
          </cell>
          <cell r="I164">
            <v>0</v>
          </cell>
          <cell r="J164">
            <v>0</v>
          </cell>
        </row>
        <row r="165">
          <cell r="B165">
            <v>414</v>
          </cell>
          <cell r="I165">
            <v>0</v>
          </cell>
          <cell r="J165">
            <v>0</v>
          </cell>
        </row>
        <row r="166">
          <cell r="B166">
            <v>416</v>
          </cell>
          <cell r="E166">
            <v>0</v>
          </cell>
          <cell r="F166">
            <v>0</v>
          </cell>
          <cell r="I166">
            <v>0</v>
          </cell>
          <cell r="J166">
            <v>0</v>
          </cell>
        </row>
        <row r="167">
          <cell r="E167">
            <v>0</v>
          </cell>
          <cell r="F167">
            <v>0</v>
          </cell>
          <cell r="I167">
            <v>0</v>
          </cell>
          <cell r="J167">
            <v>0</v>
          </cell>
        </row>
        <row r="168">
          <cell r="B168">
            <v>417</v>
          </cell>
          <cell r="I168">
            <v>0</v>
          </cell>
          <cell r="J168">
            <v>0</v>
          </cell>
        </row>
        <row r="169">
          <cell r="B169">
            <v>417</v>
          </cell>
          <cell r="I169">
            <v>0</v>
          </cell>
          <cell r="J169">
            <v>0</v>
          </cell>
        </row>
        <row r="170">
          <cell r="B170" t="str">
            <v>418</v>
          </cell>
          <cell r="I170">
            <v>0</v>
          </cell>
          <cell r="J170">
            <v>0</v>
          </cell>
        </row>
        <row r="171">
          <cell r="B171">
            <v>419</v>
          </cell>
          <cell r="I171">
            <v>0</v>
          </cell>
          <cell r="J171">
            <v>0</v>
          </cell>
        </row>
        <row r="172">
          <cell r="B172">
            <v>420</v>
          </cell>
          <cell r="I172">
            <v>0</v>
          </cell>
          <cell r="J172">
            <v>0</v>
          </cell>
        </row>
        <row r="173">
          <cell r="B173">
            <v>415</v>
          </cell>
          <cell r="I173">
            <v>0</v>
          </cell>
          <cell r="J173">
            <v>0</v>
          </cell>
        </row>
        <row r="174">
          <cell r="E174">
            <v>0</v>
          </cell>
          <cell r="F174">
            <v>0</v>
          </cell>
          <cell r="I174">
            <v>25250000</v>
          </cell>
          <cell r="J174">
            <v>0</v>
          </cell>
        </row>
        <row r="175">
          <cell r="B175" t="str">
            <v>421a</v>
          </cell>
          <cell r="I175">
            <v>0</v>
          </cell>
          <cell r="J175">
            <v>0</v>
          </cell>
        </row>
        <row r="176">
          <cell r="B176" t="str">
            <v>421b</v>
          </cell>
          <cell r="I176">
            <v>25250000</v>
          </cell>
          <cell r="J176">
            <v>0</v>
          </cell>
        </row>
        <row r="177">
          <cell r="B177">
            <v>422</v>
          </cell>
          <cell r="I177">
            <v>0</v>
          </cell>
          <cell r="J177">
            <v>0</v>
          </cell>
        </row>
        <row r="178">
          <cell r="E178">
            <v>0</v>
          </cell>
          <cell r="F178">
            <v>0</v>
          </cell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E186">
            <v>0</v>
          </cell>
          <cell r="F186">
            <v>0</v>
          </cell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E192">
            <v>0</v>
          </cell>
          <cell r="F192">
            <v>0</v>
          </cell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E197">
            <v>0</v>
          </cell>
          <cell r="F197">
            <v>0</v>
          </cell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E205">
            <v>0</v>
          </cell>
          <cell r="F205">
            <v>0</v>
          </cell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E216">
            <v>0</v>
          </cell>
          <cell r="F216">
            <v>0</v>
          </cell>
          <cell r="I216">
            <v>0</v>
          </cell>
          <cell r="J216">
            <v>0</v>
          </cell>
        </row>
        <row r="217">
          <cell r="E217">
            <v>0</v>
          </cell>
          <cell r="F217">
            <v>0</v>
          </cell>
          <cell r="I217">
            <v>0</v>
          </cell>
          <cell r="J217">
            <v>0</v>
          </cell>
        </row>
        <row r="218">
          <cell r="E218">
            <v>0</v>
          </cell>
          <cell r="F218">
            <v>0</v>
          </cell>
          <cell r="I218">
            <v>0</v>
          </cell>
          <cell r="J218">
            <v>0</v>
          </cell>
        </row>
        <row r="219">
          <cell r="E219">
            <v>0</v>
          </cell>
          <cell r="F219">
            <v>0</v>
          </cell>
          <cell r="I219">
            <v>0</v>
          </cell>
          <cell r="J219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A5" t="str">
            <v>1111</v>
          </cell>
        </row>
        <row r="6">
          <cell r="A6" t="str">
            <v>1112</v>
          </cell>
        </row>
        <row r="7">
          <cell r="A7" t="str">
            <v>1113</v>
          </cell>
        </row>
        <row r="8">
          <cell r="A8" t="str">
            <v>1121</v>
          </cell>
        </row>
        <row r="9">
          <cell r="A9" t="str">
            <v>1122</v>
          </cell>
        </row>
        <row r="10">
          <cell r="A10" t="str">
            <v>1123</v>
          </cell>
        </row>
        <row r="11">
          <cell r="A11" t="str">
            <v>1131</v>
          </cell>
        </row>
        <row r="12">
          <cell r="A12" t="str">
            <v>1132</v>
          </cell>
        </row>
        <row r="13">
          <cell r="A13" t="str">
            <v>1211</v>
          </cell>
        </row>
        <row r="14">
          <cell r="A14" t="str">
            <v>1212</v>
          </cell>
        </row>
        <row r="15">
          <cell r="A15" t="str">
            <v>1218</v>
          </cell>
        </row>
        <row r="16">
          <cell r="A16" t="str">
            <v>1281</v>
          </cell>
        </row>
        <row r="17">
          <cell r="A17" t="str">
            <v>1282</v>
          </cell>
        </row>
        <row r="18">
          <cell r="A18" t="str">
            <v>1283</v>
          </cell>
        </row>
        <row r="19">
          <cell r="A19" t="str">
            <v>1288</v>
          </cell>
        </row>
        <row r="20">
          <cell r="A20" t="str">
            <v>1331</v>
          </cell>
        </row>
        <row r="21">
          <cell r="A21" t="str">
            <v>1332</v>
          </cell>
        </row>
        <row r="22">
          <cell r="A22" t="str">
            <v>1361</v>
          </cell>
        </row>
        <row r="23">
          <cell r="A23" t="str">
            <v>1362</v>
          </cell>
        </row>
        <row r="24">
          <cell r="A24" t="str">
            <v>1363</v>
          </cell>
        </row>
        <row r="25">
          <cell r="A25" t="str">
            <v>1368</v>
          </cell>
        </row>
        <row r="26">
          <cell r="A26" t="str">
            <v>1381</v>
          </cell>
        </row>
        <row r="27">
          <cell r="A27" t="str">
            <v>1385</v>
          </cell>
        </row>
        <row r="28">
          <cell r="A28" t="str">
            <v>1388</v>
          </cell>
        </row>
        <row r="29">
          <cell r="A29" t="str">
            <v>141</v>
          </cell>
        </row>
        <row r="30">
          <cell r="A30" t="str">
            <v>151</v>
          </cell>
        </row>
        <row r="31">
          <cell r="A31" t="str">
            <v>152</v>
          </cell>
        </row>
        <row r="32">
          <cell r="A32" t="str">
            <v>1531</v>
          </cell>
        </row>
        <row r="33">
          <cell r="A33" t="str">
            <v>1532</v>
          </cell>
        </row>
        <row r="34">
          <cell r="A34" t="str">
            <v>1533</v>
          </cell>
        </row>
        <row r="35">
          <cell r="A35" t="str">
            <v>1534</v>
          </cell>
        </row>
        <row r="36">
          <cell r="A36" t="str">
            <v>154</v>
          </cell>
        </row>
        <row r="37">
          <cell r="A37" t="str">
            <v>1551</v>
          </cell>
        </row>
        <row r="38">
          <cell r="A38" t="str">
            <v>1557</v>
          </cell>
        </row>
        <row r="39">
          <cell r="A39" t="str">
            <v>1561</v>
          </cell>
        </row>
        <row r="40">
          <cell r="A40" t="str">
            <v>1562</v>
          </cell>
        </row>
        <row r="41">
          <cell r="A41" t="str">
            <v>1567</v>
          </cell>
        </row>
        <row r="42">
          <cell r="A42" t="str">
            <v>157</v>
          </cell>
        </row>
        <row r="43">
          <cell r="A43" t="str">
            <v>158</v>
          </cell>
        </row>
        <row r="44">
          <cell r="A44" t="str">
            <v>171</v>
          </cell>
        </row>
        <row r="45">
          <cell r="A45" t="str">
            <v>2111</v>
          </cell>
        </row>
        <row r="46">
          <cell r="A46" t="str">
            <v>2112</v>
          </cell>
        </row>
        <row r="47">
          <cell r="A47" t="str">
            <v>2113</v>
          </cell>
        </row>
        <row r="48">
          <cell r="A48" t="str">
            <v>2114</v>
          </cell>
        </row>
        <row r="49">
          <cell r="A49" t="str">
            <v>2115</v>
          </cell>
        </row>
        <row r="50">
          <cell r="A50" t="str">
            <v>2118</v>
          </cell>
        </row>
        <row r="51">
          <cell r="A51" t="str">
            <v>2121</v>
          </cell>
        </row>
        <row r="52">
          <cell r="A52" t="str">
            <v>2122</v>
          </cell>
        </row>
        <row r="53">
          <cell r="A53" t="str">
            <v>2131</v>
          </cell>
        </row>
        <row r="54">
          <cell r="A54" t="str">
            <v>2132</v>
          </cell>
        </row>
        <row r="55">
          <cell r="A55" t="str">
            <v>2133</v>
          </cell>
        </row>
        <row r="56">
          <cell r="A56" t="str">
            <v>2134</v>
          </cell>
        </row>
        <row r="57">
          <cell r="A57" t="str">
            <v>2135</v>
          </cell>
        </row>
        <row r="58">
          <cell r="A58" t="str">
            <v>2136</v>
          </cell>
        </row>
        <row r="59">
          <cell r="A59" t="str">
            <v>2138</v>
          </cell>
        </row>
        <row r="60">
          <cell r="A60" t="str">
            <v>2141</v>
          </cell>
        </row>
        <row r="61">
          <cell r="A61" t="str">
            <v>2142</v>
          </cell>
        </row>
        <row r="62">
          <cell r="A62" t="str">
            <v>2143</v>
          </cell>
        </row>
        <row r="63">
          <cell r="A63" t="str">
            <v>2147</v>
          </cell>
        </row>
        <row r="64">
          <cell r="A64" t="str">
            <v>217</v>
          </cell>
        </row>
        <row r="65">
          <cell r="A65" t="str">
            <v>221</v>
          </cell>
        </row>
        <row r="66">
          <cell r="A66" t="str">
            <v>222</v>
          </cell>
        </row>
        <row r="67">
          <cell r="A67" t="str">
            <v>2281</v>
          </cell>
        </row>
        <row r="68">
          <cell r="A68" t="str">
            <v>2288</v>
          </cell>
        </row>
        <row r="69">
          <cell r="A69" t="str">
            <v>2291</v>
          </cell>
        </row>
        <row r="70">
          <cell r="A70" t="str">
            <v>2292</v>
          </cell>
        </row>
        <row r="71">
          <cell r="A71" t="str">
            <v>2293</v>
          </cell>
        </row>
        <row r="72">
          <cell r="A72" t="str">
            <v>2294</v>
          </cell>
        </row>
        <row r="73">
          <cell r="A73" t="str">
            <v>2411</v>
          </cell>
        </row>
        <row r="74">
          <cell r="A74" t="str">
            <v>2412</v>
          </cell>
        </row>
        <row r="75">
          <cell r="A75" t="str">
            <v>2413</v>
          </cell>
        </row>
        <row r="76">
          <cell r="A76" t="str">
            <v>24201</v>
          </cell>
        </row>
        <row r="77">
          <cell r="A77" t="str">
            <v>24202</v>
          </cell>
        </row>
        <row r="78">
          <cell r="A78" t="str">
            <v>243</v>
          </cell>
        </row>
        <row r="79">
          <cell r="A79" t="str">
            <v>244</v>
          </cell>
        </row>
        <row r="80">
          <cell r="A80" t="str">
            <v>331</v>
          </cell>
        </row>
        <row r="81">
          <cell r="A81" t="str">
            <v>33311</v>
          </cell>
        </row>
        <row r="82">
          <cell r="A82" t="str">
            <v>33312</v>
          </cell>
        </row>
        <row r="83">
          <cell r="A83" t="str">
            <v>3332</v>
          </cell>
        </row>
        <row r="84">
          <cell r="A84" t="str">
            <v>3333</v>
          </cell>
        </row>
        <row r="85">
          <cell r="A85" t="str">
            <v>3334</v>
          </cell>
        </row>
        <row r="86">
          <cell r="A86" t="str">
            <v>3335</v>
          </cell>
        </row>
        <row r="87">
          <cell r="A87" t="str">
            <v>3336</v>
          </cell>
        </row>
        <row r="88">
          <cell r="A88" t="str">
            <v>3337</v>
          </cell>
        </row>
        <row r="89">
          <cell r="A89" t="str">
            <v>3338</v>
          </cell>
        </row>
        <row r="90">
          <cell r="A90" t="str">
            <v>3339</v>
          </cell>
        </row>
        <row r="91">
          <cell r="A91" t="str">
            <v>3341</v>
          </cell>
        </row>
        <row r="92">
          <cell r="A92" t="str">
            <v>3348</v>
          </cell>
        </row>
        <row r="93">
          <cell r="A93" t="str">
            <v>335</v>
          </cell>
        </row>
        <row r="94">
          <cell r="A94" t="str">
            <v>3361</v>
          </cell>
        </row>
        <row r="95">
          <cell r="A95" t="str">
            <v>3362</v>
          </cell>
        </row>
        <row r="96">
          <cell r="A96" t="str">
            <v>3363</v>
          </cell>
        </row>
        <row r="97">
          <cell r="A97" t="str">
            <v>3368</v>
          </cell>
        </row>
        <row r="98">
          <cell r="A98" t="str">
            <v>337</v>
          </cell>
        </row>
        <row r="99">
          <cell r="A99" t="str">
            <v>3381</v>
          </cell>
        </row>
        <row r="100">
          <cell r="A100" t="str">
            <v>3382</v>
          </cell>
        </row>
        <row r="101">
          <cell r="A101" t="str">
            <v>3383</v>
          </cell>
        </row>
        <row r="102">
          <cell r="A102" t="str">
            <v>3384</v>
          </cell>
        </row>
        <row r="103">
          <cell r="A103" t="str">
            <v>3385</v>
          </cell>
        </row>
        <row r="104">
          <cell r="A104" t="str">
            <v>3386</v>
          </cell>
        </row>
        <row r="105">
          <cell r="A105" t="str">
            <v>3387</v>
          </cell>
        </row>
        <row r="106">
          <cell r="A106" t="str">
            <v>3388</v>
          </cell>
        </row>
        <row r="107">
          <cell r="A107" t="str">
            <v>3411</v>
          </cell>
        </row>
        <row r="108">
          <cell r="A108" t="str">
            <v>3412</v>
          </cell>
        </row>
        <row r="109">
          <cell r="A109" t="str">
            <v>34311</v>
          </cell>
        </row>
        <row r="110">
          <cell r="A110" t="str">
            <v>34312</v>
          </cell>
        </row>
        <row r="111">
          <cell r="A111" t="str">
            <v>34313</v>
          </cell>
        </row>
        <row r="112">
          <cell r="A112" t="str">
            <v>3432</v>
          </cell>
        </row>
        <row r="113">
          <cell r="A113" t="str">
            <v>344</v>
          </cell>
        </row>
        <row r="114">
          <cell r="A114" t="str">
            <v>347</v>
          </cell>
        </row>
        <row r="115">
          <cell r="A115" t="str">
            <v>3521</v>
          </cell>
        </row>
        <row r="116">
          <cell r="A116" t="str">
            <v>3522</v>
          </cell>
        </row>
        <row r="117">
          <cell r="A117" t="str">
            <v>3523</v>
          </cell>
        </row>
        <row r="118">
          <cell r="A118" t="str">
            <v>3524</v>
          </cell>
        </row>
        <row r="119">
          <cell r="A119" t="str">
            <v>3531</v>
          </cell>
        </row>
        <row r="120">
          <cell r="A120" t="str">
            <v>3532</v>
          </cell>
        </row>
        <row r="121">
          <cell r="A121" t="str">
            <v>3533</v>
          </cell>
        </row>
        <row r="122">
          <cell r="A122" t="str">
            <v>3534</v>
          </cell>
        </row>
        <row r="123">
          <cell r="A123" t="str">
            <v>3561</v>
          </cell>
        </row>
        <row r="124">
          <cell r="A124" t="str">
            <v>3562</v>
          </cell>
        </row>
        <row r="125">
          <cell r="A125" t="str">
            <v>357</v>
          </cell>
        </row>
        <row r="126">
          <cell r="A126" t="str">
            <v>4111</v>
          </cell>
        </row>
        <row r="127">
          <cell r="A127" t="str">
            <v>4112</v>
          </cell>
        </row>
        <row r="128">
          <cell r="A128" t="str">
            <v>4113</v>
          </cell>
        </row>
        <row r="129">
          <cell r="A129" t="str">
            <v>4118</v>
          </cell>
        </row>
        <row r="130">
          <cell r="A130" t="str">
            <v>412</v>
          </cell>
        </row>
        <row r="131">
          <cell r="A131" t="str">
            <v>4131</v>
          </cell>
        </row>
        <row r="132">
          <cell r="A132" t="str">
            <v>4132</v>
          </cell>
        </row>
        <row r="133">
          <cell r="A133" t="str">
            <v>414</v>
          </cell>
        </row>
        <row r="134">
          <cell r="A134" t="str">
            <v>417</v>
          </cell>
        </row>
        <row r="135">
          <cell r="A135" t="str">
            <v>418</v>
          </cell>
        </row>
        <row r="136">
          <cell r="A136" t="str">
            <v>419</v>
          </cell>
        </row>
        <row r="137">
          <cell r="A137" t="str">
            <v>4211</v>
          </cell>
        </row>
        <row r="138">
          <cell r="A138" t="str">
            <v>4212</v>
          </cell>
        </row>
        <row r="139">
          <cell r="A139" t="str">
            <v>441</v>
          </cell>
        </row>
        <row r="140">
          <cell r="A140" t="str">
            <v>5111</v>
          </cell>
        </row>
        <row r="141">
          <cell r="A141" t="str">
            <v>5112</v>
          </cell>
        </row>
        <row r="142">
          <cell r="A142" t="str">
            <v>5113</v>
          </cell>
        </row>
        <row r="143">
          <cell r="A143" t="str">
            <v>5114</v>
          </cell>
        </row>
        <row r="144">
          <cell r="A144" t="str">
            <v>5117</v>
          </cell>
        </row>
        <row r="145">
          <cell r="A145" t="str">
            <v>5118</v>
          </cell>
        </row>
        <row r="146">
          <cell r="A146" t="str">
            <v>515</v>
          </cell>
        </row>
        <row r="147">
          <cell r="A147" t="str">
            <v>5211</v>
          </cell>
        </row>
        <row r="148">
          <cell r="A148" t="str">
            <v>5212</v>
          </cell>
        </row>
        <row r="149">
          <cell r="A149" t="str">
            <v>5213</v>
          </cell>
        </row>
        <row r="150">
          <cell r="A150" t="str">
            <v>621</v>
          </cell>
        </row>
        <row r="151">
          <cell r="A151" t="str">
            <v>622</v>
          </cell>
        </row>
        <row r="152">
          <cell r="A152" t="str">
            <v>623</v>
          </cell>
        </row>
        <row r="153">
          <cell r="A153" t="str">
            <v>627</v>
          </cell>
        </row>
        <row r="154">
          <cell r="A154" t="str">
            <v>631</v>
          </cell>
        </row>
        <row r="155">
          <cell r="A155" t="str">
            <v>632</v>
          </cell>
        </row>
        <row r="156">
          <cell r="A156" t="str">
            <v>635</v>
          </cell>
        </row>
        <row r="157">
          <cell r="A157" t="str">
            <v>6411</v>
          </cell>
        </row>
        <row r="158">
          <cell r="A158" t="str">
            <v>6412</v>
          </cell>
        </row>
        <row r="159">
          <cell r="A159" t="str">
            <v>6413</v>
          </cell>
        </row>
        <row r="160">
          <cell r="A160" t="str">
            <v>6414</v>
          </cell>
        </row>
        <row r="161">
          <cell r="A161" t="str">
            <v>6415</v>
          </cell>
        </row>
        <row r="162">
          <cell r="A162" t="str">
            <v>6417</v>
          </cell>
        </row>
        <row r="163">
          <cell r="A163" t="str">
            <v>6418</v>
          </cell>
        </row>
        <row r="164">
          <cell r="A164" t="str">
            <v>6421</v>
          </cell>
        </row>
        <row r="165">
          <cell r="A165" t="str">
            <v>6422</v>
          </cell>
        </row>
        <row r="166">
          <cell r="A166" t="str">
            <v>6423</v>
          </cell>
        </row>
        <row r="167">
          <cell r="A167" t="str">
            <v>6424</v>
          </cell>
        </row>
        <row r="168">
          <cell r="A168" t="str">
            <v>6425</v>
          </cell>
        </row>
        <row r="169">
          <cell r="A169" t="str">
            <v>6426</v>
          </cell>
        </row>
        <row r="170">
          <cell r="A170" t="str">
            <v>6427</v>
          </cell>
        </row>
        <row r="171">
          <cell r="A171" t="str">
            <v>6428</v>
          </cell>
        </row>
        <row r="172">
          <cell r="A172" t="str">
            <v>711</v>
          </cell>
        </row>
        <row r="173">
          <cell r="A173" t="str">
            <v>811</v>
          </cell>
        </row>
        <row r="174">
          <cell r="A174" t="str">
            <v>8211</v>
          </cell>
        </row>
        <row r="175">
          <cell r="A175" t="str">
            <v>8212</v>
          </cell>
        </row>
        <row r="176">
          <cell r="A176" t="str">
            <v>911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"/>
      <sheetName val="DANH SÁCH KHÁCH HÀNG-NCC"/>
      <sheetName val="ThongtinDN"/>
      <sheetName val="MENU"/>
      <sheetName val="Nhap-Xuat"/>
      <sheetName val="Tổng hợp NXT"/>
      <sheetName val="CHI TIÊT XUẤT"/>
      <sheetName val="CHI TIÊT NHẬP"/>
    </sheetNames>
    <sheetDataSet>
      <sheetData sheetId="0" refreshError="1"/>
      <sheetData sheetId="1"/>
      <sheetData sheetId="2">
        <row r="17">
          <cell r="D17" t="str">
            <v>01/1/2021</v>
          </cell>
        </row>
        <row r="18">
          <cell r="D18" t="str">
            <v>31/12/2021</v>
          </cell>
        </row>
      </sheetData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9.9978637043366805E-2"/>
  </sheetPr>
  <dimension ref="A1:P73"/>
  <sheetViews>
    <sheetView showGridLines="0" view="pageBreakPreview" zoomScale="85" zoomScaleNormal="100" zoomScaleSheetLayoutView="85" workbookViewId="0">
      <selection activeCell="G10" sqref="G10"/>
    </sheetView>
  </sheetViews>
  <sheetFormatPr defaultColWidth="9.140625" defaultRowHeight="15.75"/>
  <cols>
    <col min="1" max="1" width="7" style="15" customWidth="1"/>
    <col min="2" max="2" width="20.85546875" style="15" customWidth="1"/>
    <col min="3" max="3" width="27.28515625" style="15" customWidth="1"/>
    <col min="4" max="4" width="10.5703125" style="15" customWidth="1"/>
    <col min="5" max="5" width="11.5703125" style="15" customWidth="1"/>
    <col min="6" max="6" width="14" style="15" customWidth="1"/>
    <col min="7" max="7" width="15.140625" style="15" customWidth="1"/>
    <col min="8" max="8" width="17.140625" style="15" customWidth="1"/>
    <col min="9" max="9" width="10.140625" style="15" bestFit="1" customWidth="1"/>
    <col min="10" max="16384" width="9.140625" style="15"/>
  </cols>
  <sheetData>
    <row r="1" spans="1:11" s="1" customFormat="1" ht="19.5" customHeight="1">
      <c r="A1" s="88"/>
      <c r="B1" s="88"/>
      <c r="C1" s="88"/>
      <c r="D1" s="88"/>
      <c r="E1" s="88"/>
      <c r="F1" s="88"/>
      <c r="G1" s="88"/>
      <c r="H1" s="88"/>
    </row>
    <row r="2" spans="1:11" s="1" customFormat="1" ht="19.5" customHeight="1">
      <c r="A2" s="89"/>
      <c r="B2" s="89"/>
      <c r="C2" s="89"/>
      <c r="D2" s="89"/>
      <c r="E2" s="89"/>
      <c r="F2" s="89"/>
      <c r="G2" s="89"/>
      <c r="H2" s="89"/>
    </row>
    <row r="3" spans="1:11" s="1" customFormat="1" ht="19.5" customHeight="1">
      <c r="A3" s="89"/>
      <c r="B3" s="89"/>
      <c r="C3" s="89"/>
      <c r="D3" s="89"/>
      <c r="E3" s="89"/>
      <c r="F3" s="89"/>
      <c r="G3" s="89"/>
      <c r="H3" s="89"/>
    </row>
    <row r="4" spans="1:11" s="1" customFormat="1" ht="33" customHeight="1">
      <c r="A4" s="90" t="s">
        <v>0</v>
      </c>
      <c r="B4" s="90"/>
      <c r="C4" s="90"/>
      <c r="D4" s="90"/>
      <c r="E4" s="90"/>
      <c r="F4" s="90"/>
      <c r="G4" s="90"/>
      <c r="H4" s="90"/>
    </row>
    <row r="5" spans="1:11" s="1" customFormat="1" ht="16.5" customHeight="1">
      <c r="A5" s="90"/>
      <c r="B5" s="90"/>
      <c r="C5" s="90"/>
      <c r="D5" s="90"/>
      <c r="E5" s="90"/>
      <c r="F5" s="90"/>
      <c r="G5" s="90"/>
      <c r="H5" s="90"/>
    </row>
    <row r="6" spans="1:11" s="1" customFormat="1" ht="20.25" customHeight="1">
      <c r="A6" s="91" t="s">
        <v>1</v>
      </c>
      <c r="B6" s="91"/>
      <c r="C6" s="2"/>
      <c r="D6" s="3"/>
      <c r="E6" s="91" t="s">
        <v>2</v>
      </c>
      <c r="F6" s="91"/>
      <c r="G6" s="92"/>
      <c r="H6" s="92"/>
    </row>
    <row r="7" spans="1:11" s="1" customFormat="1" ht="30" customHeight="1">
      <c r="A7" s="91" t="s">
        <v>3</v>
      </c>
      <c r="B7" s="91"/>
      <c r="C7" s="2"/>
      <c r="D7" s="2"/>
      <c r="E7" s="2"/>
      <c r="F7" s="2"/>
      <c r="G7" s="4"/>
      <c r="H7" s="5"/>
    </row>
    <row r="8" spans="1:11" s="1" customFormat="1">
      <c r="A8" s="6"/>
      <c r="K8" s="7"/>
    </row>
    <row r="9" spans="1:11" s="7" customFormat="1" ht="38.25" customHeight="1">
      <c r="A9" s="8" t="s">
        <v>4</v>
      </c>
      <c r="B9" s="8" t="s">
        <v>5</v>
      </c>
      <c r="C9" s="8" t="s">
        <v>6</v>
      </c>
      <c r="D9" s="8" t="s">
        <v>7</v>
      </c>
      <c r="E9" s="9" t="s">
        <v>8</v>
      </c>
      <c r="F9" s="8" t="s">
        <v>9</v>
      </c>
      <c r="G9" s="9" t="s">
        <v>10</v>
      </c>
      <c r="H9" s="8" t="s">
        <v>11</v>
      </c>
    </row>
    <row r="10" spans="1:11" ht="24" customHeight="1">
      <c r="A10" s="10">
        <v>1</v>
      </c>
      <c r="B10" s="11"/>
      <c r="C10" s="11"/>
      <c r="D10" s="11"/>
      <c r="E10" s="12"/>
      <c r="F10" s="12"/>
      <c r="G10" s="13"/>
      <c r="H10" s="14"/>
    </row>
    <row r="11" spans="1:11" ht="24" customHeight="1">
      <c r="A11" s="10">
        <f>+A10+1</f>
        <v>2</v>
      </c>
      <c r="B11" s="11"/>
      <c r="C11" s="11"/>
      <c r="D11" s="11"/>
      <c r="E11" s="12"/>
      <c r="F11" s="12"/>
      <c r="G11" s="13"/>
      <c r="H11" s="14"/>
    </row>
    <row r="12" spans="1:11" ht="24" customHeight="1">
      <c r="A12" s="10">
        <f>+A11+1</f>
        <v>3</v>
      </c>
      <c r="B12" s="11"/>
      <c r="C12" s="11"/>
      <c r="D12" s="11"/>
      <c r="E12" s="12"/>
      <c r="F12" s="12"/>
      <c r="G12" s="13"/>
      <c r="H12" s="14"/>
    </row>
    <row r="13" spans="1:11" ht="24" customHeight="1">
      <c r="A13" s="10">
        <f>+A12+1</f>
        <v>4</v>
      </c>
      <c r="B13" s="11"/>
      <c r="C13" s="11"/>
      <c r="D13" s="11"/>
      <c r="E13" s="12"/>
      <c r="F13" s="12"/>
      <c r="G13" s="13"/>
      <c r="H13" s="14"/>
    </row>
    <row r="14" spans="1:11" ht="24" customHeight="1">
      <c r="A14" s="10">
        <f>+A13+1</f>
        <v>5</v>
      </c>
      <c r="B14" s="11"/>
      <c r="C14" s="11"/>
      <c r="D14" s="11"/>
      <c r="E14" s="12"/>
      <c r="F14" s="12"/>
      <c r="G14" s="13"/>
      <c r="H14" s="14"/>
    </row>
    <row r="15" spans="1:11" ht="24" customHeight="1">
      <c r="A15" s="10">
        <f>+A14+1</f>
        <v>6</v>
      </c>
      <c r="B15" s="11"/>
      <c r="C15" s="11"/>
      <c r="D15" s="11"/>
      <c r="E15" s="12"/>
      <c r="F15" s="12"/>
      <c r="G15" s="13"/>
      <c r="H15" s="14"/>
    </row>
    <row r="16" spans="1:11" ht="24" customHeight="1">
      <c r="A16" s="94" t="s">
        <v>12</v>
      </c>
      <c r="B16" s="94"/>
      <c r="C16" s="94"/>
      <c r="D16" s="94"/>
      <c r="E16" s="94"/>
      <c r="F16" s="94"/>
      <c r="G16" s="16">
        <f>SUM(G10:G15)</f>
        <v>0</v>
      </c>
      <c r="H16" s="17"/>
    </row>
    <row r="17" spans="1:11" ht="16.5">
      <c r="A17" s="18"/>
    </row>
    <row r="18" spans="1:11" ht="56.25" customHeight="1">
      <c r="A18" s="86" t="s">
        <v>13</v>
      </c>
      <c r="B18" s="86"/>
      <c r="C18" s="19" t="s">
        <v>14</v>
      </c>
      <c r="D18" s="86" t="s">
        <v>15</v>
      </c>
      <c r="E18" s="86"/>
      <c r="F18" s="86"/>
      <c r="G18" s="86" t="s">
        <v>16</v>
      </c>
      <c r="H18" s="86"/>
    </row>
    <row r="23" spans="1:11">
      <c r="K23" s="20"/>
    </row>
    <row r="24" spans="1:11" s="20" customFormat="1">
      <c r="A24" s="87"/>
      <c r="B24" s="87"/>
      <c r="F24" s="87"/>
      <c r="G24" s="87"/>
      <c r="H24" s="21"/>
      <c r="K24" s="15"/>
    </row>
    <row r="54" spans="1:16" ht="13.5" customHeight="1">
      <c r="K54" s="1"/>
    </row>
    <row r="55" spans="1:16" s="1" customFormat="1" ht="13.5" hidden="1" customHeight="1">
      <c r="K55" s="22"/>
    </row>
    <row r="56" spans="1:16" s="1" customFormat="1" hidden="1">
      <c r="A56" s="22" t="s">
        <v>17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s="1" customFormat="1" hidden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3">
        <v>8</v>
      </c>
      <c r="L57" s="22"/>
      <c r="M57" s="22"/>
      <c r="N57" s="22"/>
      <c r="O57" s="22"/>
      <c r="P57" s="22"/>
    </row>
    <row r="58" spans="1:16" s="1" customFormat="1" ht="16.5" hidden="1">
      <c r="A58" s="24"/>
      <c r="B58" s="25">
        <f>G16</f>
        <v>0</v>
      </c>
      <c r="C58" s="23" t="str">
        <f>RIGHT("000000000000"&amp;ROUND(B58,0),12)</f>
        <v>000000000000</v>
      </c>
      <c r="D58" s="23">
        <v>1</v>
      </c>
      <c r="E58" s="23">
        <v>2</v>
      </c>
      <c r="F58" s="23">
        <v>4</v>
      </c>
      <c r="G58" s="23">
        <v>5</v>
      </c>
      <c r="H58" s="23"/>
      <c r="I58" s="23">
        <v>6</v>
      </c>
      <c r="J58" s="23">
        <v>7</v>
      </c>
      <c r="K58" s="26">
        <f>VALUE(MID(C58,K57,1))</f>
        <v>0</v>
      </c>
      <c r="L58" s="27">
        <v>9</v>
      </c>
      <c r="M58" s="23">
        <v>10</v>
      </c>
      <c r="N58" s="23">
        <v>11</v>
      </c>
      <c r="O58" s="23">
        <v>12</v>
      </c>
      <c r="P58" s="28"/>
    </row>
    <row r="59" spans="1:16" s="1" customFormat="1" ht="16.5" hidden="1">
      <c r="A59" s="24"/>
      <c r="B59" s="24"/>
      <c r="C59" s="29"/>
      <c r="D59" s="26">
        <f>VALUE(MID(C58,D58,1))</f>
        <v>0</v>
      </c>
      <c r="E59" s="26">
        <f>VALUE(MID(C58,E58,1))</f>
        <v>0</v>
      </c>
      <c r="F59" s="26">
        <f>VALUE(MID(C58,F58,1))</f>
        <v>0</v>
      </c>
      <c r="G59" s="26">
        <f>VALUE(MID(C58,G58,1))</f>
        <v>0</v>
      </c>
      <c r="H59" s="26"/>
      <c r="I59" s="26">
        <f>VALUE(MID(C58,I58,1))</f>
        <v>0</v>
      </c>
      <c r="J59" s="26">
        <f>VALUE(MID(C58,J58,1))</f>
        <v>0</v>
      </c>
      <c r="K59" s="26">
        <f ca="1">SUM(J59:K59)</f>
        <v>0</v>
      </c>
      <c r="L59" s="30">
        <f>VALUE(MID(C58,L58,1))</f>
        <v>0</v>
      </c>
      <c r="M59" s="26">
        <f>VALUE(MID(C58,M58,1))</f>
        <v>0</v>
      </c>
      <c r="N59" s="26">
        <f>VALUE(MID(C58,N58,1))</f>
        <v>0</v>
      </c>
      <c r="O59" s="26">
        <f>VALUE(MID(C58,O58,1))</f>
        <v>0</v>
      </c>
      <c r="P59" s="28"/>
    </row>
    <row r="60" spans="1:16" s="1" customFormat="1" ht="16.5" hidden="1">
      <c r="A60" s="24"/>
      <c r="B60" s="24"/>
      <c r="C60" s="29"/>
      <c r="D60" s="26">
        <f>SUM(D59:D59)</f>
        <v>0</v>
      </c>
      <c r="E60" s="26">
        <f>SUM(D59:E59)</f>
        <v>0</v>
      </c>
      <c r="F60" s="26">
        <f>SUM(F59:F59)</f>
        <v>0</v>
      </c>
      <c r="G60" s="26">
        <f>SUM(F59:G59)</f>
        <v>0</v>
      </c>
      <c r="H60" s="26"/>
      <c r="I60" s="26">
        <f>SUM(F59:I59)</f>
        <v>0</v>
      </c>
      <c r="J60" s="26">
        <f>SUM(J59:J59)</f>
        <v>0</v>
      </c>
      <c r="K60" s="31" t="str">
        <f>IF(K58=0,IF(AND(J59&lt;&gt;0,L59&lt;&gt;0),"lẻ",""),CHOOSE(K58,"mười","hai","ba","bốn","năm","sáu","bảy","tám","chín"))</f>
        <v/>
      </c>
      <c r="L60" s="30">
        <f ca="1">SUM(J59:L59)</f>
        <v>0</v>
      </c>
      <c r="M60" s="26">
        <f>SUM(M59:M59)</f>
        <v>0</v>
      </c>
      <c r="N60" s="26">
        <f>SUM(M59:N59)</f>
        <v>0</v>
      </c>
      <c r="O60" s="26">
        <f>SUM(M59:O59)</f>
        <v>0</v>
      </c>
      <c r="P60" s="28"/>
    </row>
    <row r="61" spans="1:16" s="1" customFormat="1" ht="41.25" hidden="1" customHeight="1">
      <c r="A61" s="24"/>
      <c r="B61" s="24"/>
      <c r="C61" s="29"/>
      <c r="D61" s="31" t="str">
        <f>IF(D59=0,"",CHOOSE(D59,"một","hai","ba","bốn","năm","sáu","bảy","tám","chín"))</f>
        <v/>
      </c>
      <c r="E61" s="31" t="e">
        <f>IF(E59=0,IF(AND(D59&lt;&gt;0,#REF!&lt;&gt;0),"lẻ",""),CHOOSE(E59,"mười","hai","ba","bốn","năm","sáu","bảy","tám","chín"))</f>
        <v>#REF!</v>
      </c>
      <c r="F61" s="31" t="str">
        <f>IF(F59=0,"",CHOOSE(F59,"một","hai","ba","bốn","năm","sáu","bảy","tám","chín"))</f>
        <v/>
      </c>
      <c r="G61" s="31" t="str">
        <f>IF(G59=0,IF(AND(F59&lt;&gt;0,I59&lt;&gt;0),"lẻ",""),CHOOSE(G59,"mười","hai","ba","bốn","năm","sáu","bảy","tám","chín"))</f>
        <v/>
      </c>
      <c r="H61" s="31"/>
      <c r="I61" s="31" t="str">
        <f>IF(I59=0,"",CHOOSE(I59,IF(G59&gt;1,"mốt","một"),"hai","ba","bốn",IF(G59=0,"năm","lăm"),"sáu","bảy","tám","chín"))</f>
        <v/>
      </c>
      <c r="J61" s="31" t="str">
        <f>IF(J59=0,"",CHOOSE(J59,"một","hai","ba","bốn","năm","sáu","bảy","tám","chín"))</f>
        <v/>
      </c>
      <c r="K61" s="32" t="str">
        <f>IF(K58=0,"",IF(K58=1,"","mươi"))</f>
        <v/>
      </c>
      <c r="L61" s="33" t="str">
        <f>IF(L59=0,"",CHOOSE(L59,IF(K58&gt;1,"mốt","một"),"hai","ba","bốn",IF(K58=0,"năm","lăm"),"sáu","bảy","tám","chín"))</f>
        <v/>
      </c>
      <c r="M61" s="31" t="str">
        <f>IF(M59=0,"",CHOOSE(M59,"một","hai","ba","bốn","năm","sáu","bảy","tám","chín"))</f>
        <v/>
      </c>
      <c r="N61" s="31" t="str">
        <f>IF(N59=0,IF(AND(M59&lt;&gt;0,O59&lt;&gt;0),"lẻ",""),CHOOSE(N59,"mười","hai","ba","bốn","năm","sáu","bảy","tám","chín"))</f>
        <v/>
      </c>
      <c r="O61" s="31" t="str">
        <f>IF(O59=0,"",CHOOSE(O59,IF(N59&gt;1,"mốt","một"),"hai","ba","bốn",IF(N59=0,"năm","lăm"),"sáu","bảy","tám","chín"))</f>
        <v/>
      </c>
      <c r="P61" s="28"/>
    </row>
    <row r="62" spans="1:16" s="1" customFormat="1" ht="46.5" hidden="1" customHeight="1">
      <c r="A62" s="24"/>
      <c r="B62" s="24"/>
      <c r="C62" s="29"/>
      <c r="D62" s="32" t="str">
        <f>IF(D59=0,"","trăm")</f>
        <v/>
      </c>
      <c r="E62" s="32" t="str">
        <f>IF(E59=0,"",IF(E59=1,"","mươi"))</f>
        <v/>
      </c>
      <c r="F62" s="32" t="str">
        <f>IF(F59=0,"","trăm")</f>
        <v/>
      </c>
      <c r="G62" s="32" t="str">
        <f>IF(G59=0,"",IF(G59=1,"","mươi"))</f>
        <v/>
      </c>
      <c r="H62" s="32"/>
      <c r="I62" s="32" t="str">
        <f>IF(AND(I59=0,I60=0),"","triệu")</f>
        <v/>
      </c>
      <c r="J62" s="32" t="str">
        <f>IF(J59=0,"","trăm")</f>
        <v/>
      </c>
      <c r="K62" s="26"/>
      <c r="L62" s="34" t="str">
        <f ca="1">IF(AND(L59=0,L60=0),"","nghìn")</f>
        <v/>
      </c>
      <c r="M62" s="32" t="str">
        <f>IF(M59=0,"","trăm")</f>
        <v/>
      </c>
      <c r="N62" s="32" t="str">
        <f>IF(N59=0,"",IF(N59=1,"","mươi"))</f>
        <v/>
      </c>
      <c r="O62" s="32" t="s">
        <v>18</v>
      </c>
      <c r="P62" s="28"/>
    </row>
    <row r="63" spans="1:16" s="1" customFormat="1" ht="45" hidden="1" customHeight="1">
      <c r="A63" s="93"/>
      <c r="B63" s="93"/>
      <c r="C63" s="93"/>
      <c r="D63" s="35" t="str">
        <f>UPPER(LEFT(TRIM(IF(B58=0,"không đồng.",D61&amp;" "&amp;D62&amp;" "&amp;E61&amp;" "&amp;E62&amp;" "&amp;#REF!&amp;" "&amp;#REF!&amp;" "&amp;F61&amp;" "&amp;F62&amp;" "&amp;G61&amp;" "&amp;G62&amp;" "&amp;I61&amp;" "&amp;I62&amp;" "&amp;J61&amp;" "&amp;J62&amp;" "&amp;K60&amp;" "&amp;K61&amp;" "&amp;L61&amp;" "&amp;L62&amp;" "&amp;M61&amp;" "&amp;M62&amp;" "&amp;N61&amp;" "&amp;N62&amp;" "&amp;O61&amp;" "&amp;O62)),1))&amp;RIGHT(TRIM(IF(B58=0,"không đồng.",D61&amp;" "&amp;D62&amp;" "&amp;E61&amp;" "&amp;E62&amp;" "&amp;#REF!&amp;" "&amp;#REF!&amp;" "&amp;F61&amp;" "&amp;F62&amp;" "&amp;G61&amp;" "&amp;G62&amp;" "&amp;I61&amp;" "&amp;I62&amp;" "&amp;J61&amp;" "&amp;J62&amp;" "&amp;K60&amp;" "&amp;K61&amp;" "&amp;L61&amp;" "&amp;L62&amp;" "&amp;M61&amp;" "&amp;M62&amp;" "&amp;N61&amp;" "&amp;N62&amp;" "&amp;O61&amp;" "&amp;O62)),LEN(TRIM(IF(B58=0,"không đồng.",D61&amp;" "&amp;D62&amp;" "&amp;E61&amp;" "&amp;E62&amp;" "&amp;#REF!&amp;" "&amp;#REF!&amp;" "&amp;F61&amp;" "&amp;F62&amp;" "&amp;G61&amp;" "&amp;G62&amp;" "&amp;I61&amp;" "&amp;I62&amp;" "&amp;J61&amp;" "&amp;J62&amp;" "&amp;K60&amp;" "&amp;K61&amp;" "&amp;L61&amp;" "&amp;L62&amp;" "&amp;M61&amp;" "&amp;M62&amp;" "&amp;N61&amp;" "&amp;N62&amp;" "&amp;O61&amp;" "&amp;O62)))-1)</f>
        <v>Không đồng.</v>
      </c>
      <c r="E63" s="35"/>
      <c r="F63" s="26"/>
      <c r="G63" s="26"/>
      <c r="H63" s="26"/>
      <c r="I63" s="26"/>
      <c r="J63" s="26"/>
      <c r="K63" s="22"/>
      <c r="L63" s="26"/>
      <c r="M63" s="30"/>
      <c r="N63" s="26"/>
      <c r="O63" s="26"/>
      <c r="P63" s="26"/>
    </row>
    <row r="64" spans="1:16" s="1" customFormat="1" ht="45.75" hidden="1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36"/>
      <c r="L64" s="22"/>
      <c r="M64" s="22"/>
      <c r="N64" s="22"/>
      <c r="O64" s="22"/>
      <c r="P64" s="22"/>
    </row>
    <row r="65" spans="1:16" s="1" customFormat="1" ht="65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</row>
    <row r="66" spans="1:16" s="1" customFormat="1" ht="34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L66" s="36"/>
      <c r="M66" s="36"/>
      <c r="N66" s="36"/>
      <c r="O66" s="36"/>
      <c r="P66" s="36"/>
    </row>
    <row r="67" spans="1:16" s="1" customFormat="1"/>
    <row r="68" spans="1:16" s="1" customFormat="1"/>
    <row r="69" spans="1:16" s="1" customFormat="1"/>
    <row r="70" spans="1:16" s="1" customFormat="1"/>
    <row r="71" spans="1:16" s="1" customFormat="1"/>
    <row r="72" spans="1:16" s="1" customFormat="1"/>
    <row r="73" spans="1:16" s="1" customFormat="1">
      <c r="K73" s="15"/>
    </row>
  </sheetData>
  <mergeCells count="15">
    <mergeCell ref="A63:C63"/>
    <mergeCell ref="A7:B7"/>
    <mergeCell ref="A16:F16"/>
    <mergeCell ref="A18:B18"/>
    <mergeCell ref="D18:F18"/>
    <mergeCell ref="G18:H18"/>
    <mergeCell ref="A24:B24"/>
    <mergeCell ref="F24:G24"/>
    <mergeCell ref="A1:H1"/>
    <mergeCell ref="A2:H2"/>
    <mergeCell ref="A3:H3"/>
    <mergeCell ref="A4:H5"/>
    <mergeCell ref="A6:B6"/>
    <mergeCell ref="E6:F6"/>
    <mergeCell ref="G6:H6"/>
  </mergeCells>
  <pageMargins left="0.16" right="0.23" top="0.18" bottom="0.36" header="0.14000000000000001" footer="0.33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9.9978637043366805E-2"/>
  </sheetPr>
  <dimension ref="A1:P69"/>
  <sheetViews>
    <sheetView showGridLines="0" view="pageBreakPreview" zoomScale="85" zoomScaleNormal="100" zoomScaleSheetLayoutView="85" workbookViewId="0">
      <selection activeCell="A4" sqref="A4:H4"/>
    </sheetView>
  </sheetViews>
  <sheetFormatPr defaultColWidth="9.140625" defaultRowHeight="15.75"/>
  <cols>
    <col min="1" max="1" width="7.28515625" style="15" customWidth="1"/>
    <col min="2" max="2" width="18.42578125" style="15" customWidth="1"/>
    <col min="3" max="3" width="27.85546875" style="15" customWidth="1"/>
    <col min="4" max="4" width="13.28515625" style="15" customWidth="1"/>
    <col min="5" max="7" width="11.85546875" style="15" customWidth="1"/>
    <col min="8" max="8" width="18.28515625" style="15" customWidth="1"/>
    <col min="9" max="16384" width="9.140625" style="15"/>
  </cols>
  <sheetData>
    <row r="1" spans="1:10" s="1" customFormat="1">
      <c r="A1" s="88"/>
      <c r="B1" s="88"/>
      <c r="C1" s="88"/>
      <c r="D1" s="88"/>
      <c r="E1" s="88"/>
      <c r="F1" s="88"/>
      <c r="G1" s="88"/>
      <c r="H1" s="88"/>
      <c r="I1" s="37"/>
    </row>
    <row r="2" spans="1:10" s="1" customFormat="1">
      <c r="A2" s="89"/>
      <c r="B2" s="89"/>
      <c r="C2" s="89"/>
      <c r="D2" s="89"/>
      <c r="E2" s="89"/>
      <c r="F2" s="89"/>
      <c r="G2" s="89"/>
      <c r="H2" s="89"/>
      <c r="I2" s="38"/>
    </row>
    <row r="3" spans="1:10" s="1" customFormat="1">
      <c r="A3" s="89"/>
      <c r="B3" s="89"/>
      <c r="C3" s="89"/>
      <c r="D3" s="89"/>
      <c r="E3" s="89"/>
      <c r="F3" s="89"/>
      <c r="G3" s="89"/>
      <c r="H3" s="89"/>
      <c r="I3" s="38"/>
    </row>
    <row r="4" spans="1:10" s="1" customFormat="1" ht="60.75" customHeight="1">
      <c r="A4" s="95" t="s">
        <v>19</v>
      </c>
      <c r="B4" s="95"/>
      <c r="C4" s="95"/>
      <c r="D4" s="95"/>
      <c r="E4" s="95"/>
      <c r="F4" s="95"/>
      <c r="G4" s="95"/>
      <c r="H4" s="95"/>
      <c r="J4" s="39"/>
    </row>
    <row r="5" spans="1:10" s="39" customFormat="1" ht="19.5" customHeight="1">
      <c r="B5" s="40" t="s">
        <v>20</v>
      </c>
      <c r="C5" s="41"/>
      <c r="D5" s="91" t="s">
        <v>21</v>
      </c>
      <c r="E5" s="91"/>
      <c r="F5" s="96"/>
      <c r="G5" s="96"/>
      <c r="H5" s="96"/>
    </row>
    <row r="6" spans="1:10" s="39" customFormat="1" ht="28.5" customHeight="1">
      <c r="A6" s="97" t="s">
        <v>22</v>
      </c>
      <c r="B6" s="97"/>
      <c r="C6" s="42"/>
      <c r="D6" s="42"/>
      <c r="E6" s="42"/>
      <c r="F6" s="43"/>
      <c r="G6" s="43"/>
      <c r="H6" s="43"/>
      <c r="J6" s="44"/>
    </row>
    <row r="7" spans="1:10" s="39" customFormat="1" ht="21.75" customHeight="1">
      <c r="A7" s="45"/>
      <c r="J7" s="44"/>
    </row>
    <row r="8" spans="1:10" s="1" customFormat="1" ht="24.75" customHeight="1">
      <c r="A8" s="8" t="s">
        <v>4</v>
      </c>
      <c r="B8" s="8" t="s">
        <v>5</v>
      </c>
      <c r="C8" s="8" t="s">
        <v>6</v>
      </c>
      <c r="D8" s="8" t="s">
        <v>7</v>
      </c>
      <c r="E8" s="9" t="s">
        <v>8</v>
      </c>
      <c r="F8" s="9" t="s">
        <v>9</v>
      </c>
      <c r="G8" s="9" t="s">
        <v>23</v>
      </c>
      <c r="H8" s="9" t="s">
        <v>11</v>
      </c>
    </row>
    <row r="9" spans="1:10" s="50" customFormat="1" ht="30" customHeight="1">
      <c r="A9" s="46">
        <v>1</v>
      </c>
      <c r="B9" s="47"/>
      <c r="C9" s="47"/>
      <c r="D9" s="46"/>
      <c r="E9" s="48"/>
      <c r="F9" s="49"/>
      <c r="G9" s="49"/>
      <c r="H9" s="49"/>
    </row>
    <row r="10" spans="1:10" s="50" customFormat="1" ht="30" customHeight="1">
      <c r="A10" s="46">
        <f>+A9+1</f>
        <v>2</v>
      </c>
      <c r="B10" s="47"/>
      <c r="C10" s="47"/>
      <c r="D10" s="46"/>
      <c r="E10" s="48"/>
      <c r="F10" s="49"/>
      <c r="G10" s="49"/>
      <c r="H10" s="49"/>
    </row>
    <row r="11" spans="1:10" s="50" customFormat="1" ht="30" customHeight="1">
      <c r="A11" s="46">
        <f t="shared" ref="A11:A13" si="0">+A10+1</f>
        <v>3</v>
      </c>
      <c r="B11" s="47"/>
      <c r="C11" s="47"/>
      <c r="D11" s="46"/>
      <c r="E11" s="48"/>
      <c r="F11" s="49"/>
      <c r="G11" s="49"/>
      <c r="H11" s="49"/>
    </row>
    <row r="12" spans="1:10" s="50" customFormat="1" ht="30" customHeight="1">
      <c r="A12" s="46">
        <f t="shared" si="0"/>
        <v>4</v>
      </c>
      <c r="B12" s="47"/>
      <c r="C12" s="47"/>
      <c r="D12" s="46"/>
      <c r="E12" s="48"/>
      <c r="F12" s="49"/>
      <c r="G12" s="49"/>
      <c r="H12" s="49"/>
    </row>
    <row r="13" spans="1:10" s="50" customFormat="1" ht="30" customHeight="1">
      <c r="A13" s="46">
        <f t="shared" si="0"/>
        <v>5</v>
      </c>
      <c r="B13" s="47"/>
      <c r="C13" s="47"/>
      <c r="D13" s="46"/>
      <c r="E13" s="48"/>
      <c r="F13" s="49"/>
      <c r="G13" s="49"/>
      <c r="H13" s="49"/>
    </row>
    <row r="14" spans="1:10" s="53" customFormat="1" ht="30" customHeight="1">
      <c r="A14" s="98" t="s">
        <v>12</v>
      </c>
      <c r="B14" s="99"/>
      <c r="C14" s="99"/>
      <c r="D14" s="99"/>
      <c r="E14" s="99"/>
      <c r="F14" s="100"/>
      <c r="G14" s="51"/>
      <c r="H14" s="52">
        <f>ROUND(SUM(H9:H13),0)</f>
        <v>0</v>
      </c>
    </row>
    <row r="15" spans="1:10" s="53" customFormat="1" ht="9.75" customHeight="1">
      <c r="A15" s="101"/>
      <c r="B15" s="101"/>
      <c r="C15" s="101"/>
      <c r="D15" s="101"/>
      <c r="E15" s="101"/>
      <c r="F15" s="101"/>
      <c r="G15" s="101"/>
      <c r="H15" s="101"/>
      <c r="J15" s="15"/>
    </row>
    <row r="16" spans="1:10" s="53" customFormat="1" ht="34.5" customHeight="1">
      <c r="A16" s="86" t="s">
        <v>24</v>
      </c>
      <c r="B16" s="86"/>
      <c r="C16" s="86" t="s">
        <v>14</v>
      </c>
      <c r="D16" s="86"/>
      <c r="E16" s="86"/>
      <c r="F16" s="86" t="s">
        <v>16</v>
      </c>
      <c r="G16" s="86"/>
      <c r="H16" s="86"/>
      <c r="I16" s="54"/>
      <c r="J16" s="15"/>
    </row>
    <row r="17" spans="1:10" ht="31.5" customHeight="1">
      <c r="A17" s="86"/>
      <c r="B17" s="86"/>
      <c r="D17" s="86"/>
      <c r="E17" s="86"/>
      <c r="F17" s="19"/>
      <c r="G17" s="19"/>
      <c r="H17" s="55"/>
    </row>
    <row r="22" spans="1:10">
      <c r="J22" s="20"/>
    </row>
    <row r="24" spans="1:10" s="20" customFormat="1">
      <c r="J24" s="15"/>
    </row>
    <row r="49" spans="1:16">
      <c r="J49" s="1"/>
    </row>
    <row r="50" spans="1:16">
      <c r="J50" s="22"/>
    </row>
    <row r="51" spans="1:16" s="1" customFormat="1" ht="15" customHeight="1">
      <c r="J51" s="22"/>
    </row>
    <row r="52" spans="1:16" s="1" customFormat="1" hidden="1">
      <c r="A52" s="22" t="s">
        <v>17</v>
      </c>
      <c r="B52" s="22"/>
      <c r="C52" s="22"/>
      <c r="D52" s="22"/>
      <c r="E52" s="22"/>
      <c r="F52" s="22"/>
      <c r="G52" s="22"/>
      <c r="H52" s="22"/>
      <c r="I52" s="22"/>
      <c r="J52" s="23">
        <v>7</v>
      </c>
      <c r="K52" s="22"/>
      <c r="L52" s="22"/>
      <c r="M52" s="22"/>
      <c r="N52" s="22"/>
      <c r="O52" s="22"/>
      <c r="P52" s="22"/>
    </row>
    <row r="53" spans="1:16" s="1" customFormat="1" hidden="1">
      <c r="A53" s="22"/>
      <c r="B53" s="22"/>
      <c r="C53" s="22"/>
      <c r="D53" s="22"/>
      <c r="E53" s="22"/>
      <c r="F53" s="22"/>
      <c r="G53" s="22"/>
      <c r="H53" s="22"/>
      <c r="I53" s="22"/>
      <c r="J53" s="26">
        <f>VALUE(MID(C54,J52,1))</f>
        <v>0</v>
      </c>
      <c r="K53" s="22"/>
      <c r="L53" s="22"/>
      <c r="M53" s="22"/>
      <c r="N53" s="22"/>
      <c r="O53" s="22"/>
      <c r="P53" s="22"/>
    </row>
    <row r="54" spans="1:16" s="1" customFormat="1" ht="16.5" hidden="1">
      <c r="A54" s="24"/>
      <c r="B54" s="25">
        <f>H14</f>
        <v>0</v>
      </c>
      <c r="C54" s="23" t="str">
        <f>RIGHT("000000000000"&amp;ROUND(B54,0),12)</f>
        <v>000000000000</v>
      </c>
      <c r="D54" s="23">
        <v>1</v>
      </c>
      <c r="E54" s="23">
        <v>2</v>
      </c>
      <c r="F54" s="23">
        <v>4</v>
      </c>
      <c r="G54" s="23"/>
      <c r="H54" s="23">
        <v>5</v>
      </c>
      <c r="I54" s="23">
        <v>6</v>
      </c>
      <c r="J54" s="26">
        <f>SUM(J53:J53)</f>
        <v>0</v>
      </c>
      <c r="K54" s="23">
        <v>8</v>
      </c>
      <c r="L54" s="27">
        <v>9</v>
      </c>
      <c r="M54" s="23">
        <v>10</v>
      </c>
      <c r="N54" s="23">
        <v>11</v>
      </c>
      <c r="O54" s="23">
        <v>12</v>
      </c>
      <c r="P54" s="28"/>
    </row>
    <row r="55" spans="1:16" s="1" customFormat="1" ht="16.5" hidden="1">
      <c r="A55" s="24"/>
      <c r="B55" s="24"/>
      <c r="C55" s="29"/>
      <c r="D55" s="26">
        <f>VALUE(MID(C54,D54,1))</f>
        <v>0</v>
      </c>
      <c r="E55" s="26">
        <f>VALUE(MID(C54,E54,1))</f>
        <v>0</v>
      </c>
      <c r="F55" s="26">
        <f>VALUE(MID(C54,F54,1))</f>
        <v>0</v>
      </c>
      <c r="G55" s="26"/>
      <c r="H55" s="26">
        <f>VALUE(MID(C54,H54,1))</f>
        <v>0</v>
      </c>
      <c r="I55" s="26">
        <f>VALUE(MID(C54,I54,1))</f>
        <v>0</v>
      </c>
      <c r="J55" s="31" t="str">
        <f>IF(J53=0,"",CHOOSE(J53,"một","hai","ba","bốn","năm","sáu","bảy","tám","chín"))</f>
        <v/>
      </c>
      <c r="K55" s="26">
        <f>VALUE(MID(C54,K54,1))</f>
        <v>0</v>
      </c>
      <c r="L55" s="30">
        <f>VALUE(MID(C54,L54,1))</f>
        <v>0</v>
      </c>
      <c r="M55" s="26">
        <f>VALUE(MID(C54,M54,1))</f>
        <v>0</v>
      </c>
      <c r="N55" s="26">
        <f>VALUE(MID(C54,N54,1))</f>
        <v>0</v>
      </c>
      <c r="O55" s="26">
        <f>VALUE(MID(C54,O54,1))</f>
        <v>0</v>
      </c>
      <c r="P55" s="28"/>
    </row>
    <row r="56" spans="1:16" s="1" customFormat="1" ht="16.5" hidden="1">
      <c r="A56" s="24"/>
      <c r="B56" s="24"/>
      <c r="C56" s="29"/>
      <c r="D56" s="26">
        <f>SUM(D55:D55)</f>
        <v>0</v>
      </c>
      <c r="E56" s="26">
        <f>SUM(D55:E55)</f>
        <v>0</v>
      </c>
      <c r="F56" s="26">
        <f>SUM(F55:F55)</f>
        <v>0</v>
      </c>
      <c r="G56" s="26"/>
      <c r="H56" s="26">
        <f>SUM(F55:H55)</f>
        <v>0</v>
      </c>
      <c r="I56" s="26">
        <f>SUM(F55:I55)</f>
        <v>0</v>
      </c>
      <c r="J56" s="32" t="str">
        <f>IF(J53=0,"","trăm")</f>
        <v/>
      </c>
      <c r="K56" s="26">
        <f>SUM(J55:K55)</f>
        <v>0</v>
      </c>
      <c r="L56" s="30">
        <f>SUM(J55:L55)</f>
        <v>0</v>
      </c>
      <c r="M56" s="26">
        <f>SUM(M55:M55)</f>
        <v>0</v>
      </c>
      <c r="N56" s="26">
        <f>SUM(M55:N55)</f>
        <v>0</v>
      </c>
      <c r="O56" s="26">
        <f>SUM(M55:O55)</f>
        <v>0</v>
      </c>
      <c r="P56" s="28"/>
    </row>
    <row r="57" spans="1:16" s="1" customFormat="1" ht="16.5" hidden="1">
      <c r="A57" s="24"/>
      <c r="B57" s="24"/>
      <c r="C57" s="29"/>
      <c r="D57" s="31" t="str">
        <f>IF(D55=0,"",CHOOSE(D55,"một","hai","ba","bốn","năm","sáu","bảy","tám","chín"))</f>
        <v/>
      </c>
      <c r="E57" s="31" t="e">
        <f>IF(E55=0,IF(AND(D55&lt;&gt;0,#REF!&lt;&gt;0),"lẻ",""),CHOOSE(E55,"mười","hai","ba","bốn","năm","sáu","bảy","tám","chín"))</f>
        <v>#REF!</v>
      </c>
      <c r="F57" s="31" t="str">
        <f>IF(F55=0,"",CHOOSE(F55,"một","hai","ba","bốn","năm","sáu","bảy","tám","chín"))</f>
        <v/>
      </c>
      <c r="G57" s="31"/>
      <c r="H57" s="31" t="str">
        <f>IF(H55=0,IF(AND(F55&lt;&gt;0,I55&lt;&gt;0),"lẻ",""),CHOOSE(H55,"mười","hai","ba","bốn","năm","sáu","bảy","tám","chín"))</f>
        <v/>
      </c>
      <c r="I57" s="31" t="str">
        <f>IF(I55=0,"",CHOOSE(I55,IF(H55&gt;1,"mốt","một"),"hai","ba","bốn",IF(H55=0,"năm","lăm"),"sáu","bảy","tám","chín"))</f>
        <v/>
      </c>
      <c r="J57" s="26"/>
      <c r="K57" s="31" t="str">
        <f>IF(K55=0,IF(AND(J53&lt;&gt;0,L55&lt;&gt;0),"lẻ",""),CHOOSE(K55,"mười","hai","ba","bốn","năm","sáu","bảy","tám","chín"))</f>
        <v/>
      </c>
      <c r="L57" s="33" t="str">
        <f>IF(L55=0,"",CHOOSE(L55,IF(K55&gt;1,"mốt","một"),"hai","ba","bốn",IF(K55=0,"năm","lăm"),"sáu","bảy","tám","chín"))</f>
        <v/>
      </c>
      <c r="M57" s="31" t="str">
        <f>IF(M55=0,"",CHOOSE(M55,"một","hai","ba","bốn","năm","sáu","bảy","tám","chín"))</f>
        <v/>
      </c>
      <c r="N57" s="31" t="str">
        <f>IF(N55=0,IF(AND(M55&lt;&gt;0,O55&lt;&gt;0),"lẻ",""),CHOOSE(N55,"mười","hai","ba","bốn","năm","sáu","bảy","tám","chín"))</f>
        <v/>
      </c>
      <c r="O57" s="31" t="str">
        <f>IF(O55=0,"",CHOOSE(O55,IF(N55&gt;1,"mốt","một"),"hai","ba","bốn",IF(N55=0,"năm","lăm"),"sáu","bảy","tám","chín"))</f>
        <v/>
      </c>
      <c r="P57" s="28"/>
    </row>
    <row r="58" spans="1:16" s="1" customFormat="1" ht="16.5" hidden="1">
      <c r="A58" s="24"/>
      <c r="B58" s="24"/>
      <c r="C58" s="29"/>
      <c r="D58" s="32" t="str">
        <f>IF(D55=0,"","trăm")</f>
        <v/>
      </c>
      <c r="E58" s="32" t="str">
        <f>IF(E55=0,"",IF(E55=1,"","mươi"))</f>
        <v/>
      </c>
      <c r="F58" s="32" t="str">
        <f>IF(F55=0,"","trăm")</f>
        <v/>
      </c>
      <c r="G58" s="32"/>
      <c r="H58" s="32" t="str">
        <f>IF(H55=0,"",IF(H55=1,"","mươi"))</f>
        <v/>
      </c>
      <c r="I58" s="32" t="str">
        <f>IF(AND(I55=0,I56=0),"","triệu")</f>
        <v/>
      </c>
      <c r="J58" s="22"/>
      <c r="K58" s="32" t="str">
        <f>IF(K55=0,"",IF(K55=1,"","mươi"))</f>
        <v/>
      </c>
      <c r="L58" s="34" t="str">
        <f>IF(AND(L55=0,L56=0),"","ngàn")</f>
        <v/>
      </c>
      <c r="M58" s="32" t="str">
        <f>IF(M55=0,"","trăm")</f>
        <v/>
      </c>
      <c r="N58" s="32" t="str">
        <f>IF(N55=0,"",IF(N55=1,"","mươi"))</f>
        <v/>
      </c>
      <c r="O58" s="32" t="s">
        <v>18</v>
      </c>
      <c r="P58" s="28"/>
    </row>
    <row r="59" spans="1:16" s="1" customFormat="1" ht="17.25" hidden="1">
      <c r="A59" s="93"/>
      <c r="B59" s="93"/>
      <c r="C59" s="93"/>
      <c r="D59" s="35" t="str">
        <f>UPPER(LEFT(TRIM(IF(B54=0,"không đồng.",D57&amp;" "&amp;D58&amp;" "&amp;E57&amp;" "&amp;E58&amp;" "&amp;#REF!&amp;" "&amp;#REF!&amp;" "&amp;F57&amp;" "&amp;F58&amp;" "&amp;H57&amp;" "&amp;H58&amp;" "&amp;I57&amp;" "&amp;I58&amp;" "&amp;J55&amp;" "&amp;J56&amp;" "&amp;K57&amp;" "&amp;K58&amp;" "&amp;L57&amp;" "&amp;L58&amp;" "&amp;M57&amp;" "&amp;M58&amp;" "&amp;N57&amp;" "&amp;N58&amp;" "&amp;O57&amp;" "&amp;O58)),1))&amp;RIGHT(TRIM(IF(B54=0,"không đồng.",D57&amp;" "&amp;D58&amp;" "&amp;E57&amp;" "&amp;E58&amp;" "&amp;#REF!&amp;" "&amp;#REF!&amp;" "&amp;F57&amp;" "&amp;F58&amp;" "&amp;H57&amp;" "&amp;H58&amp;" "&amp;I57&amp;" "&amp;I58&amp;" "&amp;J55&amp;" "&amp;J56&amp;" "&amp;K57&amp;" "&amp;K58&amp;" "&amp;L57&amp;" "&amp;L58&amp;" "&amp;M57&amp;" "&amp;M58&amp;" "&amp;N57&amp;" "&amp;N58&amp;" "&amp;O57&amp;" "&amp;O58)),LEN(TRIM(IF(B54=0,"không đồng.",D57&amp;" "&amp;D58&amp;" "&amp;E57&amp;" "&amp;E58&amp;" "&amp;#REF!&amp;" "&amp;#REF!&amp;" "&amp;F57&amp;" "&amp;F58&amp;" "&amp;H57&amp;" "&amp;H58&amp;" "&amp;I57&amp;" "&amp;I58&amp;" "&amp;J55&amp;" "&amp;J56&amp;" "&amp;K57&amp;" "&amp;K58&amp;" "&amp;L57&amp;" "&amp;L58&amp;" "&amp;M57&amp;" "&amp;M58&amp;" "&amp;N57&amp;" "&amp;N58&amp;" "&amp;O57&amp;" "&amp;O58)))-1)</f>
        <v>Không đồng.</v>
      </c>
      <c r="E59" s="35"/>
      <c r="F59" s="26"/>
      <c r="G59" s="26"/>
      <c r="H59" s="26"/>
      <c r="I59" s="26"/>
      <c r="J59" s="36"/>
      <c r="K59" s="26"/>
      <c r="L59" s="26"/>
      <c r="M59" s="30"/>
      <c r="N59" s="26"/>
      <c r="O59" s="26"/>
      <c r="P59" s="26"/>
    </row>
    <row r="60" spans="1:16" s="1" customFormat="1" hidden="1">
      <c r="A60" s="22"/>
      <c r="B60" s="22"/>
      <c r="C60" s="22"/>
      <c r="D60" s="22"/>
      <c r="E60" s="22"/>
      <c r="F60" s="22"/>
      <c r="G60" s="22"/>
      <c r="H60" s="22"/>
      <c r="I60" s="22"/>
      <c r="J60" s="36"/>
      <c r="K60" s="22"/>
      <c r="L60" s="22"/>
      <c r="M60" s="22"/>
      <c r="N60" s="22"/>
      <c r="O60" s="22"/>
      <c r="P60" s="22"/>
    </row>
    <row r="61" spans="1:16" s="1" customFormat="1" hidden="1">
      <c r="A61" s="36"/>
      <c r="B61" s="36"/>
      <c r="C61" s="36"/>
      <c r="D61" s="36"/>
      <c r="E61" s="36"/>
      <c r="F61" s="36"/>
      <c r="G61" s="36"/>
      <c r="H61" s="36"/>
      <c r="I61" s="36"/>
      <c r="K61" s="36"/>
      <c r="L61" s="36"/>
      <c r="M61" s="36"/>
      <c r="N61" s="36"/>
      <c r="O61" s="36"/>
      <c r="P61" s="36"/>
    </row>
    <row r="62" spans="1:16" s="1" customFormat="1" hidden="1">
      <c r="A62" s="36"/>
      <c r="B62" s="36"/>
      <c r="C62" s="36"/>
      <c r="D62" s="36"/>
      <c r="E62" s="36"/>
      <c r="F62" s="36"/>
      <c r="G62" s="36"/>
      <c r="H62" s="36"/>
      <c r="I62" s="36"/>
      <c r="K62" s="36"/>
      <c r="L62" s="36"/>
      <c r="M62" s="36"/>
      <c r="N62" s="36"/>
      <c r="O62" s="36"/>
      <c r="P62" s="36"/>
    </row>
    <row r="63" spans="1:16" s="1" customFormat="1"/>
    <row r="64" spans="1:16" s="1" customFormat="1"/>
    <row r="65" spans="10:10" s="1" customFormat="1"/>
    <row r="66" spans="10:10" s="1" customFormat="1"/>
    <row r="67" spans="10:10" s="1" customFormat="1"/>
    <row r="68" spans="10:10" s="1" customFormat="1">
      <c r="J68" s="15"/>
    </row>
    <row r="69" spans="10:10" s="1" customFormat="1">
      <c r="J69" s="15"/>
    </row>
  </sheetData>
  <mergeCells count="15">
    <mergeCell ref="A17:B17"/>
    <mergeCell ref="D17:E17"/>
    <mergeCell ref="A59:C59"/>
    <mergeCell ref="A6:B6"/>
    <mergeCell ref="A14:F14"/>
    <mergeCell ref="A15:H15"/>
    <mergeCell ref="A16:B16"/>
    <mergeCell ref="C16:E16"/>
    <mergeCell ref="F16:H16"/>
    <mergeCell ref="A1:H1"/>
    <mergeCell ref="A2:H2"/>
    <mergeCell ref="A3:H3"/>
    <mergeCell ref="A4:H4"/>
    <mergeCell ref="D5:E5"/>
    <mergeCell ref="F5:H5"/>
  </mergeCells>
  <pageMargins left="0.36" right="0.14000000000000001" top="7.0000000000000007E-2" bottom="0.06" header="0.16" footer="0.32"/>
  <pageSetup paperSize="9"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I44"/>
  <sheetViews>
    <sheetView workbookViewId="0">
      <selection activeCell="E4" sqref="E1:E1048576"/>
    </sheetView>
  </sheetViews>
  <sheetFormatPr defaultColWidth="9.140625" defaultRowHeight="15"/>
  <cols>
    <col min="1" max="1" width="9.85546875" style="56" customWidth="1"/>
    <col min="2" max="2" width="7.28515625" style="56" customWidth="1"/>
    <col min="3" max="3" width="11.28515625" style="56" customWidth="1"/>
    <col min="4" max="4" width="8.85546875" style="56" customWidth="1"/>
    <col min="5" max="5" width="12.42578125" style="56" customWidth="1"/>
    <col min="6" max="6" width="11.7109375" style="56" customWidth="1"/>
    <col min="7" max="7" width="12.42578125" style="56" customWidth="1"/>
    <col min="8" max="8" width="12.5703125" style="56" customWidth="1"/>
    <col min="9" max="9" width="12.42578125" style="56" customWidth="1"/>
    <col min="10" max="16384" width="9.140625" style="56"/>
  </cols>
  <sheetData>
    <row r="1" spans="1:9" ht="31.5" customHeight="1">
      <c r="A1" s="104"/>
      <c r="B1" s="105"/>
      <c r="C1" s="108"/>
      <c r="D1" s="109"/>
      <c r="E1" s="109"/>
      <c r="F1" s="109"/>
      <c r="G1" s="109"/>
      <c r="H1" s="109"/>
      <c r="I1" s="110"/>
    </row>
    <row r="2" spans="1:9" ht="42.75" customHeight="1">
      <c r="A2" s="106"/>
      <c r="B2" s="107"/>
      <c r="C2" s="111" t="s">
        <v>55</v>
      </c>
      <c r="D2" s="112"/>
      <c r="E2" s="112"/>
      <c r="F2" s="112"/>
      <c r="G2" s="112"/>
      <c r="H2" s="112"/>
      <c r="I2" s="113"/>
    </row>
    <row r="3" spans="1:9" ht="33" customHeight="1">
      <c r="A3" s="114" t="s">
        <v>25</v>
      </c>
      <c r="B3" s="115"/>
      <c r="C3" s="116"/>
      <c r="D3" s="117"/>
      <c r="E3" s="117"/>
      <c r="F3" s="117"/>
      <c r="G3" s="117"/>
      <c r="H3" s="117"/>
      <c r="I3" s="118"/>
    </row>
    <row r="4" spans="1:9" ht="49.5">
      <c r="A4" s="57" t="s">
        <v>26</v>
      </c>
      <c r="B4" s="57" t="s">
        <v>27</v>
      </c>
      <c r="C4" s="57" t="s">
        <v>28</v>
      </c>
      <c r="D4" s="57" t="s">
        <v>29</v>
      </c>
      <c r="E4" s="57" t="s">
        <v>30</v>
      </c>
      <c r="F4" s="57" t="s">
        <v>31</v>
      </c>
      <c r="G4" s="57" t="s">
        <v>32</v>
      </c>
      <c r="H4" s="57" t="s">
        <v>33</v>
      </c>
      <c r="I4" s="57" t="s">
        <v>34</v>
      </c>
    </row>
    <row r="5" spans="1:9" ht="22.5" customHeight="1">
      <c r="A5" s="58"/>
      <c r="B5" s="58"/>
      <c r="C5" s="58"/>
      <c r="D5" s="58"/>
      <c r="E5" s="58"/>
      <c r="F5" s="58"/>
      <c r="G5" s="58"/>
      <c r="H5" s="58"/>
      <c r="I5" s="58"/>
    </row>
    <row r="6" spans="1:9" ht="22.5" customHeight="1">
      <c r="A6" s="58"/>
      <c r="B6" s="58"/>
      <c r="C6" s="58"/>
      <c r="D6" s="58"/>
      <c r="E6" s="58"/>
      <c r="F6" s="58"/>
      <c r="G6" s="58"/>
      <c r="H6" s="58"/>
      <c r="I6" s="58"/>
    </row>
    <row r="7" spans="1:9" ht="22.5" customHeight="1">
      <c r="A7" s="58"/>
      <c r="B7" s="58"/>
      <c r="C7" s="58"/>
      <c r="D7" s="58"/>
      <c r="E7" s="58"/>
      <c r="F7" s="58"/>
      <c r="G7" s="58"/>
      <c r="H7" s="58"/>
      <c r="I7" s="58"/>
    </row>
    <row r="8" spans="1:9" ht="24" customHeight="1">
      <c r="A8" s="58"/>
      <c r="B8" s="58"/>
      <c r="C8" s="58"/>
      <c r="D8" s="58"/>
      <c r="E8" s="58"/>
      <c r="F8" s="58"/>
      <c r="G8" s="58"/>
      <c r="H8" s="58"/>
      <c r="I8" s="58"/>
    </row>
    <row r="9" spans="1:9" ht="24" customHeight="1">
      <c r="A9" s="58"/>
      <c r="B9" s="58"/>
      <c r="C9" s="58"/>
      <c r="D9" s="58"/>
      <c r="E9" s="58"/>
      <c r="F9" s="58"/>
      <c r="G9" s="58"/>
      <c r="H9" s="58"/>
      <c r="I9" s="58"/>
    </row>
    <row r="10" spans="1:9" ht="23.25" customHeight="1">
      <c r="A10" s="58"/>
      <c r="B10" s="58"/>
      <c r="C10" s="58"/>
      <c r="D10" s="58"/>
      <c r="E10" s="58"/>
      <c r="F10" s="58"/>
      <c r="G10" s="58"/>
      <c r="H10" s="58"/>
      <c r="I10" s="58"/>
    </row>
    <row r="11" spans="1:9" ht="23.25" customHeight="1">
      <c r="A11" s="58"/>
      <c r="B11" s="58"/>
      <c r="C11" s="58"/>
      <c r="D11" s="58"/>
      <c r="E11" s="58"/>
      <c r="F11" s="58"/>
      <c r="G11" s="58"/>
      <c r="H11" s="58"/>
      <c r="I11" s="58"/>
    </row>
    <row r="12" spans="1:9" ht="23.25" customHeight="1">
      <c r="A12" s="58"/>
      <c r="B12" s="58"/>
      <c r="C12" s="58"/>
      <c r="D12" s="58"/>
      <c r="E12" s="58"/>
      <c r="F12" s="58"/>
      <c r="G12" s="58"/>
      <c r="H12" s="58"/>
      <c r="I12" s="58"/>
    </row>
    <row r="13" spans="1:9" ht="21.75" customHeight="1">
      <c r="A13" s="58"/>
      <c r="B13" s="58"/>
      <c r="C13" s="58"/>
      <c r="D13" s="58"/>
      <c r="E13" s="58"/>
      <c r="F13" s="58"/>
      <c r="G13" s="58"/>
      <c r="H13" s="58"/>
      <c r="I13" s="58"/>
    </row>
    <row r="14" spans="1:9" ht="22.5" customHeight="1">
      <c r="A14" s="58"/>
      <c r="B14" s="58"/>
      <c r="C14" s="58"/>
      <c r="D14" s="58"/>
      <c r="E14" s="58"/>
      <c r="F14" s="58"/>
      <c r="G14" s="58"/>
      <c r="H14" s="58"/>
      <c r="I14" s="58"/>
    </row>
    <row r="15" spans="1:9" ht="23.25" customHeight="1">
      <c r="A15" s="58"/>
      <c r="B15" s="58"/>
      <c r="C15" s="58"/>
      <c r="D15" s="58"/>
      <c r="E15" s="58"/>
      <c r="F15" s="58"/>
      <c r="G15" s="58"/>
      <c r="H15" s="58"/>
      <c r="I15" s="58"/>
    </row>
    <row r="16" spans="1:9" ht="21.75" customHeight="1">
      <c r="A16" s="58"/>
      <c r="B16" s="58"/>
      <c r="C16" s="58"/>
      <c r="D16" s="58"/>
      <c r="E16" s="58"/>
      <c r="F16" s="58"/>
      <c r="G16" s="58"/>
      <c r="H16" s="58"/>
      <c r="I16" s="58"/>
    </row>
    <row r="17" spans="1:9" ht="23.25" customHeight="1">
      <c r="A17" s="58"/>
      <c r="B17" s="58"/>
      <c r="C17" s="58"/>
      <c r="D17" s="58"/>
      <c r="E17" s="58"/>
      <c r="F17" s="58"/>
      <c r="G17" s="58"/>
      <c r="H17" s="58"/>
      <c r="I17" s="58"/>
    </row>
    <row r="18" spans="1:9" ht="23.25" customHeight="1">
      <c r="A18" s="58"/>
      <c r="B18" s="58"/>
      <c r="C18" s="58"/>
      <c r="D18" s="58"/>
      <c r="E18" s="58"/>
      <c r="F18" s="58"/>
      <c r="G18" s="58"/>
      <c r="H18" s="58"/>
      <c r="I18" s="58"/>
    </row>
    <row r="19" spans="1:9" ht="24" customHeight="1">
      <c r="A19" s="58"/>
      <c r="B19" s="58"/>
      <c r="C19" s="58"/>
      <c r="D19" s="58"/>
      <c r="E19" s="58"/>
      <c r="F19" s="58"/>
      <c r="G19" s="58"/>
      <c r="H19" s="58"/>
      <c r="I19" s="58"/>
    </row>
    <row r="20" spans="1:9" ht="23.25" customHeight="1">
      <c r="A20" s="58"/>
      <c r="B20" s="58"/>
      <c r="C20" s="58"/>
      <c r="D20" s="58"/>
      <c r="E20" s="58"/>
      <c r="F20" s="58"/>
      <c r="G20" s="58"/>
      <c r="H20" s="58"/>
      <c r="I20" s="58"/>
    </row>
    <row r="21" spans="1:9" ht="22.5" customHeight="1">
      <c r="A21" s="58"/>
      <c r="B21" s="58"/>
      <c r="C21" s="58"/>
      <c r="D21" s="58"/>
      <c r="E21" s="58"/>
      <c r="F21" s="58"/>
      <c r="G21" s="58"/>
      <c r="H21" s="58"/>
      <c r="I21" s="58"/>
    </row>
    <row r="22" spans="1:9" ht="22.5" customHeight="1">
      <c r="A22" s="58"/>
      <c r="B22" s="58"/>
      <c r="C22" s="58"/>
      <c r="D22" s="58"/>
      <c r="E22" s="58"/>
      <c r="F22" s="58"/>
      <c r="G22" s="58"/>
      <c r="H22" s="58"/>
      <c r="I22" s="58"/>
    </row>
    <row r="23" spans="1:9" ht="21.75" customHeight="1">
      <c r="A23" s="58"/>
      <c r="B23" s="58"/>
      <c r="C23" s="58"/>
      <c r="D23" s="58"/>
      <c r="E23" s="58"/>
      <c r="F23" s="58"/>
      <c r="G23" s="58"/>
      <c r="H23" s="58"/>
      <c r="I23" s="58"/>
    </row>
    <row r="24" spans="1:9" ht="21.75" customHeight="1">
      <c r="A24" s="58"/>
      <c r="B24" s="58"/>
      <c r="C24" s="58"/>
      <c r="D24" s="58"/>
      <c r="E24" s="58"/>
      <c r="F24" s="58"/>
      <c r="G24" s="58"/>
      <c r="H24" s="58"/>
      <c r="I24" s="58"/>
    </row>
    <row r="25" spans="1:9" ht="22.5" customHeight="1">
      <c r="A25" s="58"/>
      <c r="B25" s="58"/>
      <c r="C25" s="58"/>
      <c r="D25" s="58"/>
      <c r="E25" s="58"/>
      <c r="F25" s="58"/>
      <c r="G25" s="58"/>
      <c r="H25" s="58"/>
      <c r="I25" s="58"/>
    </row>
    <row r="26" spans="1:9" ht="21" customHeight="1">
      <c r="A26" s="58"/>
      <c r="B26" s="58"/>
      <c r="C26" s="58"/>
      <c r="D26" s="58"/>
      <c r="E26" s="58"/>
      <c r="F26" s="58"/>
      <c r="G26" s="58"/>
      <c r="H26" s="58"/>
      <c r="I26" s="58"/>
    </row>
    <row r="27" spans="1:9" ht="22.5" customHeight="1">
      <c r="A27" s="58"/>
      <c r="B27" s="58"/>
      <c r="C27" s="58"/>
      <c r="D27" s="58"/>
      <c r="E27" s="58"/>
      <c r="F27" s="58"/>
      <c r="G27" s="58"/>
      <c r="H27" s="58"/>
      <c r="I27" s="58"/>
    </row>
    <row r="28" spans="1:9" ht="23.25" customHeight="1">
      <c r="A28" s="58"/>
      <c r="B28" s="58"/>
      <c r="C28" s="58"/>
      <c r="D28" s="58"/>
      <c r="E28" s="58"/>
      <c r="F28" s="58"/>
      <c r="G28" s="58"/>
      <c r="H28" s="58"/>
      <c r="I28" s="58"/>
    </row>
    <row r="29" spans="1:9" ht="24.75" customHeight="1">
      <c r="A29" s="58"/>
      <c r="B29" s="58"/>
      <c r="C29" s="58"/>
      <c r="D29" s="58"/>
      <c r="E29" s="58"/>
      <c r="F29" s="58"/>
      <c r="G29" s="58"/>
      <c r="H29" s="58"/>
      <c r="I29" s="58"/>
    </row>
    <row r="30" spans="1:9" ht="24.75" customHeight="1">
      <c r="A30" s="58"/>
      <c r="B30" s="58"/>
      <c r="C30" s="58"/>
      <c r="D30" s="58"/>
      <c r="E30" s="58"/>
      <c r="F30" s="58"/>
      <c r="G30" s="58"/>
      <c r="H30" s="58"/>
      <c r="I30" s="58"/>
    </row>
    <row r="31" spans="1:9">
      <c r="A31" s="119" t="s">
        <v>35</v>
      </c>
      <c r="B31" s="102"/>
      <c r="C31" s="59"/>
      <c r="D31" s="102"/>
      <c r="E31" s="102"/>
      <c r="F31" s="102"/>
      <c r="G31" s="102"/>
      <c r="H31" s="102"/>
      <c r="I31" s="102"/>
    </row>
    <row r="32" spans="1:9">
      <c r="A32" s="120"/>
      <c r="B32" s="103"/>
      <c r="C32" s="60"/>
      <c r="D32" s="103"/>
      <c r="E32" s="103"/>
      <c r="F32" s="103"/>
      <c r="G32" s="103"/>
      <c r="H32" s="103"/>
      <c r="I32" s="103"/>
    </row>
    <row r="44" ht="30" customHeight="1"/>
  </sheetData>
  <mergeCells count="13">
    <mergeCell ref="G31:G32"/>
    <mergeCell ref="H31:H32"/>
    <mergeCell ref="I31:I32"/>
    <mergeCell ref="A1:B2"/>
    <mergeCell ref="C1:I1"/>
    <mergeCell ref="C2:I2"/>
    <mergeCell ref="A3:B3"/>
    <mergeCell ref="C3:I3"/>
    <mergeCell ref="A31:A32"/>
    <mergeCell ref="B31:B32"/>
    <mergeCell ref="D31:D32"/>
    <mergeCell ref="E31:E32"/>
    <mergeCell ref="F31:F32"/>
  </mergeCells>
  <pageMargins left="0.25" right="0.25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L57"/>
  <sheetViews>
    <sheetView showGridLines="0" zoomScaleNormal="100" workbookViewId="0">
      <pane xSplit="9" ySplit="8" topLeftCell="J81" activePane="bottomRight" state="frozen"/>
      <selection pane="topRight" activeCell="Q1" sqref="Q1"/>
      <selection pane="bottomLeft" activeCell="A10" sqref="A10"/>
      <selection pane="bottomRight" activeCell="F8" sqref="F8:I8"/>
    </sheetView>
  </sheetViews>
  <sheetFormatPr defaultColWidth="9.140625" defaultRowHeight="15.75"/>
  <cols>
    <col min="1" max="1" width="8.140625" style="15" customWidth="1"/>
    <col min="2" max="2" width="16.140625" style="15" customWidth="1"/>
    <col min="3" max="3" width="34.42578125" style="15" customWidth="1"/>
    <col min="4" max="4" width="12.7109375" style="64" customWidth="1"/>
    <col min="5" max="5" width="9.5703125" style="64" customWidth="1"/>
    <col min="6" max="6" width="13.140625" style="65" customWidth="1"/>
    <col min="7" max="7" width="13.42578125" style="65" customWidth="1"/>
    <col min="8" max="8" width="12.7109375" style="15" customWidth="1"/>
    <col min="9" max="9" width="14.85546875" style="15" customWidth="1"/>
    <col min="10" max="16384" width="9.140625" style="15"/>
  </cols>
  <sheetData>
    <row r="1" spans="1:9" s="1" customFormat="1">
      <c r="B1" s="61"/>
      <c r="D1" s="62"/>
      <c r="E1" s="62"/>
    </row>
    <row r="2" spans="1:9" s="1" customFormat="1">
      <c r="B2" s="61"/>
      <c r="D2" s="62"/>
      <c r="E2" s="62"/>
    </row>
    <row r="3" spans="1:9" s="1" customFormat="1">
      <c r="B3" s="61"/>
      <c r="D3" s="62"/>
      <c r="E3" s="62"/>
    </row>
    <row r="4" spans="1:9" ht="8.25" customHeight="1">
      <c r="B4" s="63"/>
      <c r="I4" s="1"/>
    </row>
    <row r="5" spans="1:9" ht="41.25" customHeight="1">
      <c r="B5" s="84" t="s">
        <v>49</v>
      </c>
      <c r="C5" s="84"/>
      <c r="D5" s="84"/>
      <c r="E5" s="84"/>
      <c r="F5" s="84"/>
      <c r="G5" s="84"/>
      <c r="H5" s="84"/>
      <c r="I5" s="84"/>
    </row>
    <row r="6" spans="1:9" ht="24.75" customHeight="1">
      <c r="B6" s="85" t="s">
        <v>56</v>
      </c>
      <c r="C6" s="85"/>
      <c r="D6" s="85"/>
      <c r="E6" s="85"/>
      <c r="F6" s="85"/>
      <c r="G6" s="85"/>
      <c r="H6" s="85"/>
      <c r="I6" s="85"/>
    </row>
    <row r="7" spans="1:9" s="69" customFormat="1" ht="33" customHeight="1">
      <c r="A7" s="66" t="s">
        <v>4</v>
      </c>
      <c r="B7" s="66" t="s">
        <v>36</v>
      </c>
      <c r="C7" s="66" t="s">
        <v>37</v>
      </c>
      <c r="D7" s="67" t="s">
        <v>38</v>
      </c>
      <c r="E7" s="67" t="s">
        <v>39</v>
      </c>
      <c r="F7" s="68" t="s">
        <v>40</v>
      </c>
      <c r="G7" s="66" t="s">
        <v>41</v>
      </c>
      <c r="H7" s="66" t="s">
        <v>42</v>
      </c>
      <c r="I7" s="66" t="s">
        <v>43</v>
      </c>
    </row>
    <row r="8" spans="1:9" s="70" customFormat="1" ht="39.75" customHeight="1">
      <c r="B8" s="71"/>
      <c r="C8" s="71" t="s">
        <v>44</v>
      </c>
      <c r="D8" s="71"/>
      <c r="E8" s="71"/>
      <c r="F8" s="72"/>
      <c r="G8" s="72"/>
      <c r="H8" s="72"/>
      <c r="I8" s="72"/>
    </row>
    <row r="9" spans="1:9" s="80" customFormat="1" ht="24" customHeight="1">
      <c r="A9" s="73">
        <v>1</v>
      </c>
      <c r="B9" s="74"/>
      <c r="C9" s="75"/>
      <c r="D9" s="76" t="s">
        <v>45</v>
      </c>
      <c r="E9" s="76" t="s">
        <v>46</v>
      </c>
      <c r="F9" s="77">
        <v>0</v>
      </c>
      <c r="G9" s="78">
        <v>0</v>
      </c>
      <c r="H9" s="78">
        <v>0</v>
      </c>
      <c r="I9" s="79">
        <v>0</v>
      </c>
    </row>
    <row r="10" spans="1:9" s="80" customFormat="1" ht="24" customHeight="1">
      <c r="A10" s="73">
        <v>2</v>
      </c>
      <c r="B10" s="74"/>
      <c r="C10" s="75"/>
      <c r="D10" s="76" t="s">
        <v>45</v>
      </c>
      <c r="E10" s="76" t="s">
        <v>46</v>
      </c>
      <c r="F10" s="77"/>
      <c r="G10" s="78"/>
      <c r="H10" s="78"/>
      <c r="I10" s="79"/>
    </row>
    <row r="11" spans="1:9" s="80" customFormat="1" ht="24" customHeight="1">
      <c r="A11" s="73">
        <v>3</v>
      </c>
      <c r="B11" s="74"/>
      <c r="C11" s="75"/>
      <c r="D11" s="76" t="s">
        <v>45</v>
      </c>
      <c r="E11" s="76" t="s">
        <v>47</v>
      </c>
      <c r="F11" s="77"/>
      <c r="G11" s="78"/>
      <c r="H11" s="78"/>
      <c r="I11" s="79"/>
    </row>
    <row r="12" spans="1:9" s="80" customFormat="1" ht="24" customHeight="1">
      <c r="A12" s="73">
        <v>4</v>
      </c>
      <c r="B12" s="74"/>
      <c r="C12" s="75"/>
      <c r="D12" s="76" t="s">
        <v>45</v>
      </c>
      <c r="E12" s="76" t="s">
        <v>46</v>
      </c>
      <c r="F12" s="77"/>
      <c r="G12" s="78"/>
      <c r="H12" s="78"/>
      <c r="I12" s="79"/>
    </row>
    <row r="13" spans="1:9" s="80" customFormat="1" ht="24" customHeight="1">
      <c r="A13" s="73">
        <v>5</v>
      </c>
      <c r="B13" s="74"/>
      <c r="C13" s="75"/>
      <c r="D13" s="76" t="s">
        <v>45</v>
      </c>
      <c r="E13" s="76" t="s">
        <v>46</v>
      </c>
      <c r="F13" s="77"/>
      <c r="G13" s="78"/>
      <c r="H13" s="78"/>
      <c r="I13" s="79"/>
    </row>
    <row r="14" spans="1:9" s="80" customFormat="1" ht="24" customHeight="1">
      <c r="A14" s="73">
        <v>6</v>
      </c>
      <c r="B14" s="74"/>
      <c r="C14" s="75"/>
      <c r="D14" s="76" t="s">
        <v>45</v>
      </c>
      <c r="E14" s="76" t="s">
        <v>46</v>
      </c>
      <c r="F14" s="77"/>
      <c r="G14" s="78"/>
      <c r="H14" s="78"/>
      <c r="I14" s="79"/>
    </row>
    <row r="15" spans="1:9" s="80" customFormat="1" ht="24" customHeight="1">
      <c r="A15" s="73">
        <v>7</v>
      </c>
      <c r="B15" s="74"/>
      <c r="C15" s="75"/>
      <c r="D15" s="76" t="s">
        <v>45</v>
      </c>
      <c r="E15" s="76" t="s">
        <v>47</v>
      </c>
      <c r="F15" s="77"/>
      <c r="G15" s="78"/>
      <c r="H15" s="78"/>
      <c r="I15" s="79"/>
    </row>
    <row r="16" spans="1:9" s="80" customFormat="1" ht="24" customHeight="1">
      <c r="A16" s="73">
        <v>8</v>
      </c>
      <c r="B16" s="74"/>
      <c r="C16" s="75"/>
      <c r="D16" s="76" t="s">
        <v>45</v>
      </c>
      <c r="E16" s="76" t="s">
        <v>47</v>
      </c>
      <c r="F16" s="77"/>
      <c r="G16" s="78"/>
      <c r="H16" s="78"/>
      <c r="I16" s="79"/>
    </row>
    <row r="17" spans="1:12" s="80" customFormat="1" ht="24" customHeight="1">
      <c r="A17" s="73">
        <v>9</v>
      </c>
      <c r="B17" s="74"/>
      <c r="C17" s="75"/>
      <c r="D17" s="76" t="s">
        <v>45</v>
      </c>
      <c r="E17" s="76" t="s">
        <v>47</v>
      </c>
      <c r="F17" s="77"/>
      <c r="G17" s="78"/>
      <c r="H17" s="78"/>
      <c r="I17" s="79"/>
    </row>
    <row r="18" spans="1:12" s="80" customFormat="1" ht="24" customHeight="1">
      <c r="A18" s="73">
        <v>10</v>
      </c>
      <c r="B18" s="74"/>
      <c r="C18" s="75"/>
      <c r="D18" s="76" t="s">
        <v>45</v>
      </c>
      <c r="E18" s="76" t="s">
        <v>46</v>
      </c>
      <c r="F18" s="77"/>
      <c r="G18" s="78"/>
      <c r="H18" s="78"/>
      <c r="I18" s="79"/>
    </row>
    <row r="19" spans="1:12" s="80" customFormat="1" ht="24" customHeight="1">
      <c r="A19" s="73">
        <v>11</v>
      </c>
      <c r="B19" s="74"/>
      <c r="C19" s="75"/>
      <c r="D19" s="76" t="s">
        <v>45</v>
      </c>
      <c r="E19" s="76" t="s">
        <v>47</v>
      </c>
      <c r="F19" s="77"/>
      <c r="G19" s="78"/>
      <c r="H19" s="78"/>
      <c r="I19" s="79"/>
    </row>
    <row r="20" spans="1:12" s="80" customFormat="1" ht="24" customHeight="1">
      <c r="A20" s="73">
        <v>12</v>
      </c>
      <c r="B20" s="74"/>
      <c r="C20" s="75"/>
      <c r="D20" s="76" t="s">
        <v>45</v>
      </c>
      <c r="E20" s="76" t="s">
        <v>46</v>
      </c>
      <c r="F20" s="77"/>
      <c r="G20" s="78"/>
      <c r="H20" s="78"/>
      <c r="I20" s="79"/>
    </row>
    <row r="21" spans="1:12" s="80" customFormat="1" ht="24" customHeight="1">
      <c r="A21" s="73">
        <v>13</v>
      </c>
      <c r="B21" s="74"/>
      <c r="C21" s="75"/>
      <c r="D21" s="76" t="s">
        <v>45</v>
      </c>
      <c r="E21" s="76" t="s">
        <v>46</v>
      </c>
      <c r="F21" s="77"/>
      <c r="G21" s="78"/>
      <c r="H21" s="78"/>
      <c r="I21" s="79"/>
    </row>
    <row r="22" spans="1:12" s="80" customFormat="1" ht="24" customHeight="1">
      <c r="A22" s="73">
        <v>14</v>
      </c>
      <c r="B22" s="74"/>
      <c r="C22" s="75"/>
      <c r="D22" s="76" t="s">
        <v>45</v>
      </c>
      <c r="E22" s="76" t="s">
        <v>46</v>
      </c>
      <c r="F22" s="77"/>
      <c r="G22" s="78"/>
      <c r="H22" s="78"/>
      <c r="I22" s="79"/>
    </row>
    <row r="23" spans="1:12" s="80" customFormat="1" ht="24" customHeight="1">
      <c r="A23" s="73">
        <v>15</v>
      </c>
      <c r="B23" s="74"/>
      <c r="C23" s="75"/>
      <c r="D23" s="76" t="s">
        <v>45</v>
      </c>
      <c r="E23" s="76" t="s">
        <v>47</v>
      </c>
      <c r="F23" s="77"/>
      <c r="G23" s="78"/>
      <c r="H23" s="78"/>
      <c r="I23" s="79"/>
      <c r="L23" s="80">
        <f>11980-7780</f>
        <v>4200</v>
      </c>
    </row>
    <row r="24" spans="1:12" s="80" customFormat="1" ht="24" customHeight="1">
      <c r="A24" s="73">
        <v>16</v>
      </c>
      <c r="B24" s="74"/>
      <c r="C24" s="75"/>
      <c r="D24" s="76" t="s">
        <v>45</v>
      </c>
      <c r="E24" s="76" t="s">
        <v>48</v>
      </c>
      <c r="F24" s="77"/>
      <c r="G24" s="78"/>
      <c r="H24" s="78"/>
      <c r="I24" s="79"/>
    </row>
    <row r="25" spans="1:12" s="80" customFormat="1" ht="24" customHeight="1">
      <c r="A25" s="73">
        <v>17</v>
      </c>
      <c r="B25" s="74"/>
      <c r="C25" s="75"/>
      <c r="D25" s="76" t="s">
        <v>45</v>
      </c>
      <c r="E25" s="76" t="s">
        <v>46</v>
      </c>
      <c r="F25" s="77"/>
      <c r="G25" s="78"/>
      <c r="H25" s="78"/>
      <c r="I25" s="79"/>
    </row>
    <row r="26" spans="1:12" s="80" customFormat="1" ht="24" customHeight="1">
      <c r="A26" s="73">
        <v>18</v>
      </c>
      <c r="B26" s="74"/>
      <c r="C26" s="75"/>
      <c r="D26" s="76" t="s">
        <v>45</v>
      </c>
      <c r="E26" s="76" t="s">
        <v>47</v>
      </c>
      <c r="F26" s="77"/>
      <c r="G26" s="78"/>
      <c r="H26" s="78"/>
      <c r="I26" s="79"/>
    </row>
    <row r="27" spans="1:12" s="80" customFormat="1" ht="24" customHeight="1">
      <c r="A27" s="73">
        <v>19</v>
      </c>
      <c r="B27" s="74"/>
      <c r="C27" s="75"/>
      <c r="D27" s="76" t="s">
        <v>45</v>
      </c>
      <c r="E27" s="76" t="s">
        <v>47</v>
      </c>
      <c r="F27" s="77"/>
      <c r="G27" s="78"/>
      <c r="H27" s="78"/>
      <c r="I27" s="79"/>
    </row>
    <row r="28" spans="1:12" s="80" customFormat="1" ht="24" customHeight="1">
      <c r="A28" s="73">
        <v>20</v>
      </c>
      <c r="B28" s="74"/>
      <c r="C28" s="75"/>
      <c r="D28" s="76" t="s">
        <v>45</v>
      </c>
      <c r="E28" s="76" t="s">
        <v>47</v>
      </c>
      <c r="F28" s="77"/>
      <c r="G28" s="78"/>
      <c r="H28" s="78"/>
      <c r="I28" s="79"/>
    </row>
    <row r="29" spans="1:12" s="80" customFormat="1" ht="24" customHeight="1">
      <c r="A29" s="73">
        <v>21</v>
      </c>
      <c r="B29" s="74"/>
      <c r="C29" s="75"/>
      <c r="D29" s="76" t="s">
        <v>45</v>
      </c>
      <c r="E29" s="76" t="s">
        <v>47</v>
      </c>
      <c r="F29" s="77"/>
      <c r="G29" s="78"/>
      <c r="H29" s="78"/>
      <c r="I29" s="79"/>
    </row>
    <row r="30" spans="1:12" s="80" customFormat="1" ht="24" customHeight="1">
      <c r="A30" s="73">
        <v>22</v>
      </c>
      <c r="B30" s="74"/>
      <c r="C30" s="75"/>
      <c r="D30" s="76" t="s">
        <v>45</v>
      </c>
      <c r="E30" s="76" t="s">
        <v>47</v>
      </c>
      <c r="F30" s="77"/>
      <c r="G30" s="78"/>
      <c r="H30" s="78"/>
      <c r="I30" s="79"/>
    </row>
    <row r="31" spans="1:12" s="80" customFormat="1" ht="24" customHeight="1">
      <c r="A31" s="73">
        <v>23</v>
      </c>
      <c r="B31" s="74"/>
      <c r="C31" s="75"/>
      <c r="D31" s="76" t="s">
        <v>45</v>
      </c>
      <c r="E31" s="76" t="s">
        <v>46</v>
      </c>
      <c r="F31" s="77"/>
      <c r="G31" s="78"/>
      <c r="H31" s="78"/>
      <c r="I31" s="79"/>
    </row>
    <row r="32" spans="1:12" s="80" customFormat="1" ht="24" customHeight="1">
      <c r="A32" s="73">
        <v>24</v>
      </c>
      <c r="B32" s="74"/>
      <c r="C32" s="75"/>
      <c r="D32" s="76" t="s">
        <v>45</v>
      </c>
      <c r="E32" s="76" t="s">
        <v>46</v>
      </c>
      <c r="F32" s="77"/>
      <c r="G32" s="78"/>
      <c r="H32" s="78"/>
      <c r="I32" s="79"/>
    </row>
    <row r="33" spans="1:9" s="80" customFormat="1" ht="24" customHeight="1">
      <c r="A33" s="73">
        <v>25</v>
      </c>
      <c r="B33" s="74"/>
      <c r="C33" s="75"/>
      <c r="D33" s="76" t="s">
        <v>45</v>
      </c>
      <c r="E33" s="76" t="s">
        <v>46</v>
      </c>
      <c r="F33" s="77"/>
      <c r="G33" s="78"/>
      <c r="H33" s="78"/>
      <c r="I33" s="79"/>
    </row>
    <row r="34" spans="1:9" s="80" customFormat="1" ht="24" customHeight="1">
      <c r="A34" s="73">
        <v>26</v>
      </c>
      <c r="B34" s="74"/>
      <c r="C34" s="75"/>
      <c r="D34" s="76" t="s">
        <v>45</v>
      </c>
      <c r="E34" s="76" t="s">
        <v>46</v>
      </c>
      <c r="F34" s="77"/>
      <c r="G34" s="78"/>
      <c r="H34" s="78"/>
      <c r="I34" s="79"/>
    </row>
    <row r="35" spans="1:9" s="80" customFormat="1" ht="24" customHeight="1">
      <c r="A35" s="73">
        <v>27</v>
      </c>
      <c r="B35" s="74"/>
      <c r="C35" s="75"/>
      <c r="D35" s="76" t="s">
        <v>45</v>
      </c>
      <c r="E35" s="76" t="s">
        <v>47</v>
      </c>
      <c r="F35" s="77"/>
      <c r="G35" s="78"/>
      <c r="H35" s="78"/>
      <c r="I35" s="79"/>
    </row>
    <row r="36" spans="1:9" s="80" customFormat="1" ht="24" customHeight="1">
      <c r="A36" s="73">
        <v>28</v>
      </c>
      <c r="B36" s="74"/>
      <c r="C36" s="75"/>
      <c r="D36" s="76" t="s">
        <v>45</v>
      </c>
      <c r="E36" s="76" t="s">
        <v>47</v>
      </c>
      <c r="F36" s="77"/>
      <c r="G36" s="78"/>
      <c r="H36" s="78"/>
      <c r="I36" s="79"/>
    </row>
    <row r="37" spans="1:9" s="80" customFormat="1" ht="24" customHeight="1">
      <c r="A37" s="73">
        <v>29</v>
      </c>
      <c r="B37" s="74"/>
      <c r="C37" s="75"/>
      <c r="D37" s="76" t="s">
        <v>45</v>
      </c>
      <c r="E37" s="76" t="s">
        <v>48</v>
      </c>
      <c r="F37" s="77"/>
      <c r="G37" s="78"/>
      <c r="H37" s="78"/>
      <c r="I37" s="79"/>
    </row>
    <row r="38" spans="1:9" s="80" customFormat="1" ht="24" customHeight="1">
      <c r="A38" s="73">
        <v>30</v>
      </c>
      <c r="B38" s="74"/>
      <c r="C38" s="75"/>
      <c r="D38" s="76" t="s">
        <v>45</v>
      </c>
      <c r="E38" s="76" t="s">
        <v>48</v>
      </c>
      <c r="F38" s="77"/>
      <c r="G38" s="78"/>
      <c r="H38" s="78"/>
      <c r="I38" s="79"/>
    </row>
    <row r="39" spans="1:9" s="80" customFormat="1" ht="24" customHeight="1">
      <c r="A39" s="73">
        <v>31</v>
      </c>
      <c r="B39" s="81"/>
      <c r="C39" s="75"/>
      <c r="D39" s="76" t="s">
        <v>45</v>
      </c>
      <c r="E39" s="76" t="s">
        <v>46</v>
      </c>
      <c r="F39" s="77"/>
      <c r="G39" s="78"/>
      <c r="H39" s="78"/>
      <c r="I39" s="79"/>
    </row>
    <row r="40" spans="1:9" s="80" customFormat="1" ht="24" customHeight="1">
      <c r="A40" s="73">
        <v>32</v>
      </c>
      <c r="B40" s="81"/>
      <c r="C40" s="75"/>
      <c r="D40" s="76" t="s">
        <v>45</v>
      </c>
      <c r="E40" s="76" t="s">
        <v>46</v>
      </c>
      <c r="F40" s="77"/>
      <c r="G40" s="78"/>
      <c r="H40" s="78"/>
      <c r="I40" s="79"/>
    </row>
    <row r="41" spans="1:9" s="80" customFormat="1" ht="24" customHeight="1">
      <c r="A41" s="73">
        <v>33</v>
      </c>
      <c r="B41" s="81"/>
      <c r="C41" s="75"/>
      <c r="D41" s="76" t="s">
        <v>45</v>
      </c>
      <c r="E41" s="76" t="s">
        <v>46</v>
      </c>
      <c r="F41" s="77"/>
      <c r="G41" s="78"/>
      <c r="H41" s="78"/>
      <c r="I41" s="79"/>
    </row>
    <row r="42" spans="1:9" s="80" customFormat="1" ht="24" customHeight="1">
      <c r="A42" s="73">
        <v>34</v>
      </c>
      <c r="B42" s="74"/>
      <c r="C42" s="75"/>
      <c r="D42" s="76" t="s">
        <v>45</v>
      </c>
      <c r="E42" s="76" t="s">
        <v>47</v>
      </c>
      <c r="F42" s="77"/>
      <c r="G42" s="78"/>
      <c r="H42" s="78"/>
      <c r="I42" s="79"/>
    </row>
    <row r="43" spans="1:9" s="80" customFormat="1" ht="24" customHeight="1">
      <c r="A43" s="73">
        <v>35</v>
      </c>
      <c r="B43" s="74"/>
      <c r="C43" s="75"/>
      <c r="D43" s="76" t="s">
        <v>45</v>
      </c>
      <c r="E43" s="76" t="s">
        <v>46</v>
      </c>
      <c r="F43" s="77"/>
      <c r="G43" s="78"/>
      <c r="H43" s="78"/>
      <c r="I43" s="79"/>
    </row>
    <row r="44" spans="1:9" s="80" customFormat="1" ht="24" customHeight="1">
      <c r="A44" s="73">
        <v>36</v>
      </c>
      <c r="B44" s="74"/>
      <c r="C44" s="75"/>
      <c r="D44" s="76" t="s">
        <v>45</v>
      </c>
      <c r="E44" s="76" t="s">
        <v>46</v>
      </c>
      <c r="F44" s="77"/>
      <c r="G44" s="78"/>
      <c r="H44" s="78"/>
      <c r="I44" s="79"/>
    </row>
    <row r="45" spans="1:9" s="80" customFormat="1" ht="24" customHeight="1">
      <c r="A45" s="73">
        <v>37</v>
      </c>
      <c r="B45" s="74"/>
      <c r="C45" s="75"/>
      <c r="D45" s="76" t="s">
        <v>45</v>
      </c>
      <c r="E45" s="76" t="s">
        <v>46</v>
      </c>
      <c r="F45" s="77"/>
      <c r="G45" s="78"/>
      <c r="H45" s="78"/>
      <c r="I45" s="79"/>
    </row>
    <row r="46" spans="1:9" s="80" customFormat="1" ht="24" customHeight="1">
      <c r="A46" s="73">
        <v>38</v>
      </c>
      <c r="B46" s="74"/>
      <c r="C46" s="75"/>
      <c r="D46" s="76" t="s">
        <v>45</v>
      </c>
      <c r="E46" s="76" t="s">
        <v>47</v>
      </c>
      <c r="F46" s="77"/>
      <c r="G46" s="78"/>
      <c r="H46" s="78"/>
      <c r="I46" s="79"/>
    </row>
    <row r="47" spans="1:9" s="80" customFormat="1" ht="24" customHeight="1">
      <c r="A47" s="73">
        <v>39</v>
      </c>
      <c r="B47" s="74"/>
      <c r="C47" s="75"/>
      <c r="D47" s="76" t="s">
        <v>45</v>
      </c>
      <c r="E47" s="76" t="s">
        <v>48</v>
      </c>
      <c r="F47" s="77"/>
      <c r="G47" s="78"/>
      <c r="H47" s="78"/>
      <c r="I47" s="79"/>
    </row>
    <row r="48" spans="1:9" s="80" customFormat="1" ht="24" customHeight="1">
      <c r="A48" s="73">
        <v>40</v>
      </c>
      <c r="B48" s="74"/>
      <c r="C48" s="75"/>
      <c r="D48" s="76" t="s">
        <v>45</v>
      </c>
      <c r="E48" s="76" t="s">
        <v>47</v>
      </c>
      <c r="F48" s="77"/>
      <c r="G48" s="78"/>
      <c r="H48" s="78"/>
      <c r="I48" s="79"/>
    </row>
    <row r="49" spans="1:9" s="80" customFormat="1" ht="24" customHeight="1">
      <c r="A49" s="73">
        <v>41</v>
      </c>
      <c r="B49" s="74"/>
      <c r="C49" s="75"/>
      <c r="D49" s="76" t="s">
        <v>45</v>
      </c>
      <c r="E49" s="76" t="s">
        <v>47</v>
      </c>
      <c r="F49" s="77"/>
      <c r="G49" s="78"/>
      <c r="H49" s="78"/>
      <c r="I49" s="79"/>
    </row>
    <row r="50" spans="1:9" s="80" customFormat="1" ht="24" customHeight="1">
      <c r="A50" s="73">
        <v>42</v>
      </c>
      <c r="B50" s="74"/>
      <c r="C50" s="75"/>
      <c r="D50" s="76" t="s">
        <v>45</v>
      </c>
      <c r="E50" s="76" t="s">
        <v>47</v>
      </c>
      <c r="F50" s="77"/>
      <c r="G50" s="78"/>
      <c r="H50" s="78"/>
      <c r="I50" s="79"/>
    </row>
    <row r="51" spans="1:9" s="80" customFormat="1" ht="24" customHeight="1">
      <c r="A51" s="73">
        <v>43</v>
      </c>
      <c r="B51" s="74"/>
      <c r="C51" s="75"/>
      <c r="D51" s="76" t="s">
        <v>45</v>
      </c>
      <c r="E51" s="76" t="s">
        <v>47</v>
      </c>
      <c r="F51" s="77"/>
      <c r="G51" s="78"/>
      <c r="H51" s="78"/>
      <c r="I51" s="79"/>
    </row>
    <row r="52" spans="1:9" s="80" customFormat="1" ht="24" customHeight="1">
      <c r="A52" s="73">
        <v>44</v>
      </c>
      <c r="B52" s="74"/>
      <c r="C52" s="75"/>
      <c r="D52" s="76" t="s">
        <v>45</v>
      </c>
      <c r="E52" s="76" t="s">
        <v>47</v>
      </c>
      <c r="F52" s="77"/>
      <c r="G52" s="78"/>
      <c r="H52" s="78"/>
      <c r="I52" s="79"/>
    </row>
    <row r="53" spans="1:9" s="80" customFormat="1" ht="24" customHeight="1">
      <c r="A53" s="73">
        <v>45</v>
      </c>
      <c r="B53" s="74"/>
      <c r="C53" s="75"/>
      <c r="D53" s="76" t="s">
        <v>45</v>
      </c>
      <c r="E53" s="76" t="s">
        <v>47</v>
      </c>
      <c r="F53" s="77"/>
      <c r="G53" s="78"/>
      <c r="H53" s="78"/>
      <c r="I53" s="79"/>
    </row>
    <row r="54" spans="1:9" s="80" customFormat="1" ht="24" customHeight="1">
      <c r="A54" s="73">
        <v>46</v>
      </c>
      <c r="B54" s="74"/>
      <c r="C54" s="75"/>
      <c r="D54" s="76" t="s">
        <v>45</v>
      </c>
      <c r="E54" s="76" t="s">
        <v>47</v>
      </c>
      <c r="F54" s="77"/>
      <c r="G54" s="78"/>
      <c r="H54" s="78"/>
      <c r="I54" s="79"/>
    </row>
    <row r="55" spans="1:9" s="80" customFormat="1" ht="24" customHeight="1">
      <c r="A55" s="73">
        <v>47</v>
      </c>
      <c r="B55" s="74"/>
      <c r="C55" s="75"/>
      <c r="D55" s="76" t="s">
        <v>45</v>
      </c>
      <c r="E55" s="76" t="s">
        <v>46</v>
      </c>
      <c r="F55" s="77"/>
      <c r="G55" s="78"/>
      <c r="H55" s="78"/>
      <c r="I55" s="79"/>
    </row>
    <row r="56" spans="1:9" s="80" customFormat="1" ht="24" customHeight="1">
      <c r="A56" s="73">
        <v>48</v>
      </c>
      <c r="B56" s="74"/>
      <c r="C56" s="75"/>
      <c r="D56" s="76" t="s">
        <v>45</v>
      </c>
      <c r="E56" s="76" t="s">
        <v>46</v>
      </c>
      <c r="F56" s="77"/>
      <c r="G56" s="78"/>
      <c r="H56" s="78"/>
      <c r="I56" s="79"/>
    </row>
    <row r="57" spans="1:9" s="80" customFormat="1" ht="24" customHeight="1">
      <c r="A57" s="73">
        <v>49</v>
      </c>
      <c r="B57" s="74"/>
      <c r="C57" s="75"/>
      <c r="D57" s="76" t="s">
        <v>45</v>
      </c>
      <c r="E57" s="76" t="s">
        <v>46</v>
      </c>
      <c r="F57" s="77"/>
      <c r="G57" s="78"/>
      <c r="H57" s="78"/>
      <c r="I57" s="79"/>
    </row>
  </sheetData>
  <autoFilter ref="B8:L57" xr:uid="{00000000-0009-0000-0000-000003000000}">
    <sortState xmlns:xlrd2="http://schemas.microsoft.com/office/spreadsheetml/2017/richdata2" ref="B9:K54">
      <sortCondition ref="B8"/>
    </sortState>
  </autoFilter>
  <mergeCells count="2">
    <mergeCell ref="B5:I5"/>
    <mergeCell ref="B6:I6"/>
  </mergeCells>
  <conditionalFormatting sqref="I9:I57">
    <cfRule type="cellIs" dxfId="0" priority="1" stopIfTrue="1" operator="lessThanOrEqual">
      <formula>0</formula>
    </cfRule>
  </conditionalFormatting>
  <pageMargins left="0.22" right="0.14000000000000001" top="0.35" bottom="0.24" header="0.15" footer="0.14000000000000001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L57"/>
  <sheetViews>
    <sheetView showGridLines="0" tabSelected="1" zoomScaleNormal="100" workbookViewId="0">
      <pane xSplit="9" ySplit="8" topLeftCell="J75" activePane="bottomRight" state="frozen"/>
      <selection pane="topRight" activeCell="Q1" sqref="Q1"/>
      <selection pane="bottomLeft" activeCell="A10" sqref="A10"/>
      <selection pane="bottomRight" activeCell="C7" sqref="C7"/>
    </sheetView>
  </sheetViews>
  <sheetFormatPr defaultColWidth="9.140625" defaultRowHeight="15.75"/>
  <cols>
    <col min="1" max="1" width="8.140625" style="15" customWidth="1"/>
    <col min="2" max="2" width="16.140625" style="15" customWidth="1"/>
    <col min="3" max="3" width="34.42578125" style="15" customWidth="1"/>
    <col min="4" max="4" width="12.7109375" style="64" customWidth="1"/>
    <col min="5" max="5" width="9.5703125" style="64" customWidth="1"/>
    <col min="6" max="6" width="13.140625" style="65" customWidth="1"/>
    <col min="7" max="7" width="13.42578125" style="65" customWidth="1"/>
    <col min="8" max="8" width="12.7109375" style="15" customWidth="1"/>
    <col min="9" max="9" width="14.85546875" style="15" customWidth="1"/>
    <col min="10" max="16384" width="9.140625" style="15"/>
  </cols>
  <sheetData>
    <row r="1" spans="1:9" s="1" customFormat="1">
      <c r="B1" s="61"/>
      <c r="D1" s="62"/>
      <c r="E1" s="62"/>
    </row>
    <row r="2" spans="1:9" s="1" customFormat="1">
      <c r="B2" s="61"/>
      <c r="D2" s="62"/>
      <c r="E2" s="62"/>
    </row>
    <row r="3" spans="1:9" s="1" customFormat="1">
      <c r="B3" s="61"/>
      <c r="D3" s="62"/>
      <c r="E3" s="62"/>
    </row>
    <row r="4" spans="1:9" ht="8.25" customHeight="1">
      <c r="B4" s="63"/>
      <c r="I4" s="1"/>
    </row>
    <row r="5" spans="1:9" ht="41.25" customHeight="1">
      <c r="B5" s="84" t="s">
        <v>50</v>
      </c>
      <c r="C5" s="84"/>
      <c r="D5" s="84"/>
      <c r="E5" s="84"/>
      <c r="F5" s="84"/>
      <c r="G5" s="84"/>
      <c r="H5" s="84"/>
      <c r="I5" s="84"/>
    </row>
    <row r="6" spans="1:9" s="82" customFormat="1" ht="24.75" customHeight="1">
      <c r="B6" s="85" t="s">
        <v>51</v>
      </c>
      <c r="C6" s="85"/>
      <c r="D6" s="85"/>
      <c r="E6" s="85"/>
      <c r="F6" s="85"/>
      <c r="G6" s="85"/>
      <c r="H6" s="85"/>
      <c r="I6" s="85"/>
    </row>
    <row r="7" spans="1:9" s="69" customFormat="1" ht="35.25" customHeight="1">
      <c r="A7" s="66" t="s">
        <v>4</v>
      </c>
      <c r="B7" s="66" t="s">
        <v>36</v>
      </c>
      <c r="C7" s="66" t="s">
        <v>37</v>
      </c>
      <c r="D7" s="67" t="s">
        <v>38</v>
      </c>
      <c r="E7" s="67" t="s">
        <v>39</v>
      </c>
      <c r="F7" s="83" t="s">
        <v>52</v>
      </c>
      <c r="G7" s="67" t="s">
        <v>53</v>
      </c>
      <c r="H7" s="67" t="s">
        <v>54</v>
      </c>
      <c r="I7" s="66" t="s">
        <v>11</v>
      </c>
    </row>
    <row r="8" spans="1:9" s="70" customFormat="1" ht="39.75" customHeight="1">
      <c r="B8" s="71"/>
      <c r="C8" s="71" t="s">
        <v>44</v>
      </c>
      <c r="D8" s="71"/>
      <c r="E8" s="71"/>
      <c r="F8" s="72">
        <v>0</v>
      </c>
      <c r="G8" s="72">
        <v>0</v>
      </c>
      <c r="H8" s="72">
        <v>0</v>
      </c>
      <c r="I8" s="72"/>
    </row>
    <row r="9" spans="1:9" s="80" customFormat="1" ht="24" customHeight="1">
      <c r="A9" s="73"/>
      <c r="B9" s="74"/>
      <c r="C9" s="75"/>
      <c r="D9" s="76"/>
      <c r="E9" s="76"/>
      <c r="F9" s="77"/>
      <c r="G9" s="78"/>
      <c r="H9" s="78"/>
      <c r="I9" s="78"/>
    </row>
    <row r="10" spans="1:9" s="80" customFormat="1" ht="24" customHeight="1">
      <c r="A10" s="73"/>
      <c r="B10" s="74"/>
      <c r="C10" s="75"/>
      <c r="D10" s="76"/>
      <c r="E10" s="76"/>
      <c r="F10" s="77"/>
      <c r="G10" s="78"/>
      <c r="H10" s="78"/>
      <c r="I10" s="78"/>
    </row>
    <row r="11" spans="1:9" s="80" customFormat="1" ht="24" customHeight="1">
      <c r="A11" s="73"/>
      <c r="B11" s="74"/>
      <c r="C11" s="75"/>
      <c r="D11" s="76"/>
      <c r="E11" s="76"/>
      <c r="F11" s="77"/>
      <c r="G11" s="78"/>
      <c r="H11" s="78"/>
      <c r="I11" s="78"/>
    </row>
    <row r="12" spans="1:9" s="80" customFormat="1" ht="24" customHeight="1">
      <c r="A12" s="73"/>
      <c r="B12" s="74"/>
      <c r="C12" s="75"/>
      <c r="D12" s="76"/>
      <c r="E12" s="76"/>
      <c r="F12" s="77"/>
      <c r="G12" s="78"/>
      <c r="H12" s="78"/>
      <c r="I12" s="78"/>
    </row>
    <row r="13" spans="1:9" s="80" customFormat="1" ht="24" customHeight="1">
      <c r="A13" s="73"/>
      <c r="B13" s="74"/>
      <c r="C13" s="75"/>
      <c r="D13" s="76"/>
      <c r="E13" s="76"/>
      <c r="F13" s="77"/>
      <c r="G13" s="78"/>
      <c r="H13" s="78"/>
      <c r="I13" s="78"/>
    </row>
    <row r="14" spans="1:9" s="80" customFormat="1" ht="24" customHeight="1">
      <c r="A14" s="73"/>
      <c r="B14" s="74"/>
      <c r="C14" s="75"/>
      <c r="D14" s="76"/>
      <c r="E14" s="76"/>
      <c r="F14" s="77"/>
      <c r="G14" s="78"/>
      <c r="H14" s="78"/>
      <c r="I14" s="78"/>
    </row>
    <row r="15" spans="1:9" s="80" customFormat="1" ht="24" customHeight="1">
      <c r="A15" s="73"/>
      <c r="B15" s="74"/>
      <c r="C15" s="75"/>
      <c r="D15" s="76"/>
      <c r="E15" s="76"/>
      <c r="F15" s="77"/>
      <c r="G15" s="78"/>
      <c r="H15" s="78"/>
      <c r="I15" s="78"/>
    </row>
    <row r="16" spans="1:9" s="80" customFormat="1" ht="24" customHeight="1">
      <c r="A16" s="73"/>
      <c r="B16" s="74"/>
      <c r="C16" s="75"/>
      <c r="D16" s="76"/>
      <c r="E16" s="76"/>
      <c r="F16" s="77"/>
      <c r="G16" s="78"/>
      <c r="H16" s="78"/>
      <c r="I16" s="78"/>
    </row>
    <row r="17" spans="1:12" s="80" customFormat="1" ht="24" customHeight="1">
      <c r="A17" s="73"/>
      <c r="B17" s="74"/>
      <c r="C17" s="75"/>
      <c r="D17" s="76"/>
      <c r="E17" s="76"/>
      <c r="F17" s="77"/>
      <c r="G17" s="78"/>
      <c r="H17" s="78"/>
      <c r="I17" s="78"/>
    </row>
    <row r="18" spans="1:12" s="80" customFormat="1" ht="24" customHeight="1">
      <c r="A18" s="73"/>
      <c r="B18" s="74"/>
      <c r="C18" s="75"/>
      <c r="D18" s="76"/>
      <c r="E18" s="76"/>
      <c r="F18" s="77"/>
      <c r="G18" s="78"/>
      <c r="H18" s="78"/>
      <c r="I18" s="78"/>
    </row>
    <row r="19" spans="1:12" s="80" customFormat="1" ht="24" customHeight="1">
      <c r="A19" s="73"/>
      <c r="B19" s="74"/>
      <c r="C19" s="75"/>
      <c r="D19" s="76"/>
      <c r="E19" s="76"/>
      <c r="F19" s="77"/>
      <c r="G19" s="78"/>
      <c r="H19" s="78"/>
      <c r="I19" s="78"/>
    </row>
    <row r="20" spans="1:12" s="80" customFormat="1" ht="24" customHeight="1">
      <c r="A20" s="73"/>
      <c r="B20" s="74"/>
      <c r="C20" s="75"/>
      <c r="D20" s="76"/>
      <c r="E20" s="76"/>
      <c r="F20" s="77"/>
      <c r="G20" s="78"/>
      <c r="H20" s="78"/>
      <c r="I20" s="78"/>
    </row>
    <row r="21" spans="1:12" s="80" customFormat="1" ht="24" customHeight="1">
      <c r="A21" s="73"/>
      <c r="B21" s="74"/>
      <c r="C21" s="75"/>
      <c r="D21" s="76"/>
      <c r="E21" s="76"/>
      <c r="F21" s="77"/>
      <c r="G21" s="78"/>
      <c r="H21" s="78"/>
      <c r="I21" s="78"/>
    </row>
    <row r="22" spans="1:12" s="80" customFormat="1" ht="24" customHeight="1">
      <c r="A22" s="73"/>
      <c r="B22" s="74"/>
      <c r="C22" s="75"/>
      <c r="D22" s="76"/>
      <c r="E22" s="76"/>
      <c r="F22" s="77"/>
      <c r="G22" s="78"/>
      <c r="H22" s="78"/>
      <c r="I22" s="78"/>
    </row>
    <row r="23" spans="1:12" s="80" customFormat="1" ht="24" customHeight="1">
      <c r="A23" s="73"/>
      <c r="B23" s="74"/>
      <c r="C23" s="75"/>
      <c r="D23" s="76"/>
      <c r="E23" s="76"/>
      <c r="F23" s="77"/>
      <c r="G23" s="78"/>
      <c r="H23" s="78"/>
      <c r="I23" s="78"/>
      <c r="L23" s="80">
        <f>11980-7780</f>
        <v>4200</v>
      </c>
    </row>
    <row r="24" spans="1:12" s="80" customFormat="1" ht="24" customHeight="1">
      <c r="A24" s="73"/>
      <c r="B24" s="74"/>
      <c r="C24" s="75"/>
      <c r="D24" s="76"/>
      <c r="E24" s="76"/>
      <c r="F24" s="77"/>
      <c r="G24" s="78"/>
      <c r="H24" s="78"/>
      <c r="I24" s="78"/>
    </row>
    <row r="25" spans="1:12" s="80" customFormat="1" ht="24" customHeight="1">
      <c r="A25" s="73"/>
      <c r="B25" s="74"/>
      <c r="C25" s="75"/>
      <c r="D25" s="76"/>
      <c r="E25" s="76"/>
      <c r="F25" s="77"/>
      <c r="G25" s="78"/>
      <c r="H25" s="78"/>
      <c r="I25" s="78"/>
    </row>
    <row r="26" spans="1:12" s="80" customFormat="1" ht="24" customHeight="1">
      <c r="A26" s="73"/>
      <c r="B26" s="74"/>
      <c r="C26" s="75"/>
      <c r="D26" s="76"/>
      <c r="E26" s="76"/>
      <c r="F26" s="77"/>
      <c r="G26" s="78"/>
      <c r="H26" s="78"/>
      <c r="I26" s="78"/>
    </row>
    <row r="27" spans="1:12" s="80" customFormat="1" ht="24" customHeight="1">
      <c r="A27" s="73"/>
      <c r="B27" s="74"/>
      <c r="C27" s="75"/>
      <c r="D27" s="76"/>
      <c r="E27" s="76"/>
      <c r="F27" s="77"/>
      <c r="G27" s="78"/>
      <c r="H27" s="78"/>
      <c r="I27" s="78"/>
    </row>
    <row r="28" spans="1:12" s="80" customFormat="1" ht="24" customHeight="1">
      <c r="A28" s="73"/>
      <c r="B28" s="74"/>
      <c r="C28" s="75"/>
      <c r="D28" s="76"/>
      <c r="E28" s="76"/>
      <c r="F28" s="77"/>
      <c r="G28" s="78"/>
      <c r="H28" s="78"/>
      <c r="I28" s="78"/>
    </row>
    <row r="29" spans="1:12" s="80" customFormat="1" ht="24" customHeight="1">
      <c r="A29" s="73"/>
      <c r="B29" s="74"/>
      <c r="C29" s="75"/>
      <c r="D29" s="76"/>
      <c r="E29" s="76"/>
      <c r="F29" s="77"/>
      <c r="G29" s="78"/>
      <c r="H29" s="78"/>
      <c r="I29" s="78"/>
    </row>
    <row r="30" spans="1:12" s="80" customFormat="1" ht="24" customHeight="1">
      <c r="A30" s="73"/>
      <c r="B30" s="74"/>
      <c r="C30" s="75"/>
      <c r="D30" s="76"/>
      <c r="E30" s="76"/>
      <c r="F30" s="77"/>
      <c r="G30" s="78"/>
      <c r="H30" s="78"/>
      <c r="I30" s="78"/>
    </row>
    <row r="31" spans="1:12" s="80" customFormat="1" ht="24" customHeight="1">
      <c r="A31" s="73"/>
      <c r="B31" s="74"/>
      <c r="C31" s="75"/>
      <c r="D31" s="76"/>
      <c r="E31" s="76"/>
      <c r="F31" s="77"/>
      <c r="G31" s="78"/>
      <c r="H31" s="78"/>
      <c r="I31" s="78"/>
    </row>
    <row r="32" spans="1:12" s="80" customFormat="1" ht="24" customHeight="1">
      <c r="A32" s="73"/>
      <c r="B32" s="74"/>
      <c r="C32" s="75"/>
      <c r="D32" s="76"/>
      <c r="E32" s="76"/>
      <c r="F32" s="77"/>
      <c r="G32" s="78"/>
      <c r="H32" s="78"/>
      <c r="I32" s="78"/>
    </row>
    <row r="33" spans="1:9" s="80" customFormat="1" ht="24" customHeight="1">
      <c r="A33" s="73"/>
      <c r="B33" s="74"/>
      <c r="C33" s="75"/>
      <c r="D33" s="76"/>
      <c r="E33" s="76"/>
      <c r="F33" s="77"/>
      <c r="G33" s="78"/>
      <c r="H33" s="78"/>
      <c r="I33" s="78"/>
    </row>
    <row r="34" spans="1:9" s="80" customFormat="1" ht="24" customHeight="1">
      <c r="A34" s="73"/>
      <c r="B34" s="74"/>
      <c r="C34" s="75"/>
      <c r="D34" s="76"/>
      <c r="E34" s="76"/>
      <c r="F34" s="77"/>
      <c r="G34" s="78"/>
      <c r="H34" s="78"/>
      <c r="I34" s="78"/>
    </row>
    <row r="35" spans="1:9" s="80" customFormat="1" ht="24" customHeight="1">
      <c r="A35" s="73"/>
      <c r="B35" s="74"/>
      <c r="C35" s="75"/>
      <c r="D35" s="76"/>
      <c r="E35" s="76"/>
      <c r="F35" s="77"/>
      <c r="G35" s="78"/>
      <c r="H35" s="78"/>
      <c r="I35" s="78"/>
    </row>
    <row r="36" spans="1:9" s="80" customFormat="1" ht="24" customHeight="1">
      <c r="A36" s="73"/>
      <c r="B36" s="74"/>
      <c r="C36" s="75"/>
      <c r="D36" s="76"/>
      <c r="E36" s="76"/>
      <c r="F36" s="77"/>
      <c r="G36" s="78"/>
      <c r="H36" s="78"/>
      <c r="I36" s="78"/>
    </row>
    <row r="37" spans="1:9" s="80" customFormat="1" ht="24" customHeight="1">
      <c r="A37" s="73"/>
      <c r="B37" s="74"/>
      <c r="C37" s="75"/>
      <c r="D37" s="76"/>
      <c r="E37" s="76"/>
      <c r="F37" s="77"/>
      <c r="G37" s="78"/>
      <c r="H37" s="78"/>
      <c r="I37" s="78"/>
    </row>
    <row r="38" spans="1:9" s="80" customFormat="1" ht="24" customHeight="1">
      <c r="A38" s="73"/>
      <c r="B38" s="74"/>
      <c r="C38" s="75"/>
      <c r="D38" s="76"/>
      <c r="E38" s="76"/>
      <c r="F38" s="77"/>
      <c r="G38" s="78"/>
      <c r="H38" s="78"/>
      <c r="I38" s="78"/>
    </row>
    <row r="39" spans="1:9" s="80" customFormat="1" ht="24" customHeight="1">
      <c r="A39" s="73"/>
      <c r="B39" s="81"/>
      <c r="C39" s="75"/>
      <c r="D39" s="76"/>
      <c r="E39" s="76"/>
      <c r="F39" s="77"/>
      <c r="G39" s="78"/>
      <c r="H39" s="78"/>
      <c r="I39" s="78"/>
    </row>
    <row r="40" spans="1:9" s="80" customFormat="1" ht="24" customHeight="1">
      <c r="A40" s="73"/>
      <c r="B40" s="81"/>
      <c r="C40" s="75"/>
      <c r="D40" s="76"/>
      <c r="E40" s="76"/>
      <c r="F40" s="77"/>
      <c r="G40" s="78"/>
      <c r="H40" s="78"/>
      <c r="I40" s="78"/>
    </row>
    <row r="41" spans="1:9" s="80" customFormat="1" ht="24" customHeight="1">
      <c r="A41" s="73"/>
      <c r="B41" s="81"/>
      <c r="C41" s="75"/>
      <c r="D41" s="76"/>
      <c r="E41" s="76"/>
      <c r="F41" s="77"/>
      <c r="G41" s="78"/>
      <c r="H41" s="78"/>
      <c r="I41" s="78"/>
    </row>
    <row r="42" spans="1:9" s="80" customFormat="1" ht="24" customHeight="1">
      <c r="A42" s="73"/>
      <c r="B42" s="74"/>
      <c r="C42" s="75"/>
      <c r="D42" s="76"/>
      <c r="E42" s="76"/>
      <c r="F42" s="77"/>
      <c r="G42" s="78"/>
      <c r="H42" s="78"/>
      <c r="I42" s="78"/>
    </row>
    <row r="43" spans="1:9" s="80" customFormat="1" ht="24" customHeight="1">
      <c r="A43" s="73"/>
      <c r="B43" s="74"/>
      <c r="C43" s="75"/>
      <c r="D43" s="76"/>
      <c r="E43" s="76"/>
      <c r="F43" s="77"/>
      <c r="G43" s="78"/>
      <c r="H43" s="78"/>
      <c r="I43" s="78"/>
    </row>
    <row r="44" spans="1:9" s="80" customFormat="1" ht="24" customHeight="1">
      <c r="A44" s="73"/>
      <c r="B44" s="74"/>
      <c r="C44" s="75"/>
      <c r="D44" s="76"/>
      <c r="E44" s="76"/>
      <c r="F44" s="77"/>
      <c r="G44" s="78"/>
      <c r="H44" s="78"/>
      <c r="I44" s="78"/>
    </row>
    <row r="45" spans="1:9" s="80" customFormat="1" ht="24" customHeight="1">
      <c r="A45" s="73"/>
      <c r="B45" s="74"/>
      <c r="C45" s="75"/>
      <c r="D45" s="76"/>
      <c r="E45" s="76"/>
      <c r="F45" s="77"/>
      <c r="G45" s="78"/>
      <c r="H45" s="78"/>
      <c r="I45" s="78"/>
    </row>
    <row r="46" spans="1:9" s="80" customFormat="1" ht="24" customHeight="1">
      <c r="A46" s="73"/>
      <c r="B46" s="74"/>
      <c r="C46" s="75"/>
      <c r="D46" s="76"/>
      <c r="E46" s="76"/>
      <c r="F46" s="77"/>
      <c r="G46" s="78"/>
      <c r="H46" s="78"/>
      <c r="I46" s="78"/>
    </row>
    <row r="47" spans="1:9" s="80" customFormat="1" ht="24" customHeight="1">
      <c r="A47" s="73"/>
      <c r="B47" s="74"/>
      <c r="C47" s="75"/>
      <c r="D47" s="76"/>
      <c r="E47" s="76"/>
      <c r="F47" s="77"/>
      <c r="G47" s="78"/>
      <c r="H47" s="78"/>
      <c r="I47" s="78"/>
    </row>
    <row r="48" spans="1:9" s="80" customFormat="1" ht="24" customHeight="1">
      <c r="A48" s="73"/>
      <c r="B48" s="74"/>
      <c r="C48" s="75"/>
      <c r="D48" s="76"/>
      <c r="E48" s="76"/>
      <c r="F48" s="77"/>
      <c r="G48" s="78"/>
      <c r="H48" s="78"/>
      <c r="I48" s="78"/>
    </row>
    <row r="49" spans="1:9" s="80" customFormat="1" ht="24" customHeight="1">
      <c r="A49" s="73"/>
      <c r="B49" s="74"/>
      <c r="C49" s="75"/>
      <c r="D49" s="76"/>
      <c r="E49" s="76"/>
      <c r="F49" s="77"/>
      <c r="G49" s="78"/>
      <c r="H49" s="78"/>
      <c r="I49" s="78"/>
    </row>
    <row r="50" spans="1:9" s="80" customFormat="1" ht="24" customHeight="1">
      <c r="A50" s="73"/>
      <c r="B50" s="74"/>
      <c r="C50" s="75"/>
      <c r="D50" s="76"/>
      <c r="E50" s="76"/>
      <c r="F50" s="77"/>
      <c r="G50" s="78"/>
      <c r="H50" s="78"/>
      <c r="I50" s="78"/>
    </row>
    <row r="51" spans="1:9" s="80" customFormat="1" ht="24" customHeight="1">
      <c r="A51" s="73"/>
      <c r="B51" s="74"/>
      <c r="C51" s="75"/>
      <c r="D51" s="76"/>
      <c r="E51" s="76"/>
      <c r="F51" s="77"/>
      <c r="G51" s="78"/>
      <c r="H51" s="78"/>
      <c r="I51" s="78"/>
    </row>
    <row r="52" spans="1:9" s="80" customFormat="1" ht="24" customHeight="1">
      <c r="A52" s="73"/>
      <c r="B52" s="74"/>
      <c r="C52" s="75"/>
      <c r="D52" s="76"/>
      <c r="E52" s="76"/>
      <c r="F52" s="77"/>
      <c r="G52" s="78"/>
      <c r="H52" s="78"/>
      <c r="I52" s="78"/>
    </row>
    <row r="53" spans="1:9" s="80" customFormat="1" ht="24" customHeight="1">
      <c r="A53" s="73"/>
      <c r="B53" s="74"/>
      <c r="C53" s="75"/>
      <c r="D53" s="76"/>
      <c r="E53" s="76"/>
      <c r="F53" s="77"/>
      <c r="G53" s="78"/>
      <c r="H53" s="78"/>
      <c r="I53" s="78"/>
    </row>
    <row r="54" spans="1:9" s="80" customFormat="1" ht="24" customHeight="1">
      <c r="A54" s="73"/>
      <c r="B54" s="74"/>
      <c r="C54" s="75"/>
      <c r="D54" s="76"/>
      <c r="E54" s="76"/>
      <c r="F54" s="77"/>
      <c r="G54" s="78"/>
      <c r="H54" s="78"/>
      <c r="I54" s="78"/>
    </row>
    <row r="55" spans="1:9" s="80" customFormat="1" ht="24" customHeight="1">
      <c r="A55" s="73"/>
      <c r="B55" s="74"/>
      <c r="C55" s="75"/>
      <c r="D55" s="76"/>
      <c r="E55" s="76"/>
      <c r="F55" s="77"/>
      <c r="G55" s="78"/>
      <c r="H55" s="78"/>
      <c r="I55" s="78"/>
    </row>
    <row r="56" spans="1:9" s="80" customFormat="1" ht="24" customHeight="1">
      <c r="A56" s="73"/>
      <c r="B56" s="74"/>
      <c r="C56" s="75"/>
      <c r="D56" s="76"/>
      <c r="E56" s="76"/>
      <c r="F56" s="77"/>
      <c r="G56" s="78"/>
      <c r="H56" s="78"/>
      <c r="I56" s="78"/>
    </row>
    <row r="57" spans="1:9" s="80" customFormat="1" ht="24" customHeight="1">
      <c r="A57" s="73"/>
      <c r="B57" s="74"/>
      <c r="C57" s="75"/>
      <c r="D57" s="76"/>
      <c r="E57" s="76"/>
      <c r="F57" s="77"/>
      <c r="G57" s="78"/>
      <c r="H57" s="78"/>
      <c r="I57" s="78"/>
    </row>
  </sheetData>
  <autoFilter ref="B8:L57" xr:uid="{00000000-0009-0000-0000-000004000000}">
    <sortState xmlns:xlrd2="http://schemas.microsoft.com/office/spreadsheetml/2017/richdata2" ref="B9:K54">
      <sortCondition ref="B8"/>
    </sortState>
  </autoFilter>
  <mergeCells count="2">
    <mergeCell ref="B5:I5"/>
    <mergeCell ref="B6:I6"/>
  </mergeCells>
  <pageMargins left="0.22" right="0.14000000000000001" top="0.35" bottom="0.24" header="0.15" footer="0.14000000000000001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Phieu nhap</vt:lpstr>
      <vt:lpstr>Phieu xuat</vt:lpstr>
      <vt:lpstr>Thẻ kho</vt:lpstr>
      <vt:lpstr>Tổng hợp NXT</vt:lpstr>
      <vt:lpstr>Báo cáo kiểm kho</vt:lpstr>
      <vt:lpstr>'Phieu nhap'!Print_Area</vt:lpstr>
      <vt:lpstr>'Phieu xuat'!Print_Area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Loc Ho</cp:lastModifiedBy>
  <cp:lastPrinted>2021-12-20T14:39:18Z</cp:lastPrinted>
  <dcterms:created xsi:type="dcterms:W3CDTF">2021-12-15T12:52:51Z</dcterms:created>
  <dcterms:modified xsi:type="dcterms:W3CDTF">2026-08-26T07:34:59Z</dcterms:modified>
</cp:coreProperties>
</file>